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80" windowWidth="15270" windowHeight="7425"/>
  </bookViews>
  <sheets>
    <sheet name="Main" sheetId="1" r:id="rId1"/>
    <sheet name="Queries" sheetId="12" r:id="rId2"/>
    <sheet name="Data" sheetId="10" r:id="rId3"/>
    <sheet name="Chart15" sheetId="28" r:id="rId4"/>
    <sheet name="Pivot" sheetId="11" r:id="rId5"/>
    <sheet name="Notes" sheetId="13" r:id="rId6"/>
  </sheets>
  <definedNames>
    <definedName name="AWR_data" localSheetId="2">Data!$A$1:$P$381</definedName>
    <definedName name="Custom_plot">Main!$C$20</definedName>
    <definedName name="dbalias">Main!$F$5</definedName>
    <definedName name="EndTime">Main!$F$7</definedName>
    <definedName name="ODBC_Name">Main!$F$10</definedName>
    <definedName name="Oracle_ODBC">Main!$F$9</definedName>
    <definedName name="Show_SQL">Main!$C$10</definedName>
    <definedName name="StartTime">Main!$F$8</definedName>
    <definedName name="UserName">Main!$F$3</definedName>
  </definedNames>
  <calcPr calcId="145621"/>
  <pivotCaches>
    <pivotCache cacheId="69" r:id="rId7"/>
  </pivotCaches>
</workbook>
</file>

<file path=xl/calcChain.xml><?xml version="1.0" encoding="utf-8"?>
<calcChain xmlns="http://schemas.openxmlformats.org/spreadsheetml/2006/main">
  <c r="F9" i="1" l="1"/>
</calcChain>
</file>

<file path=xl/comments1.xml><?xml version="1.0" encoding="utf-8"?>
<comments xmlns="http://schemas.openxmlformats.org/spreadsheetml/2006/main">
  <authors>
    <author>Luca Canali</author>
  </authors>
  <commentList>
    <comment ref="E5" author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text>
        <r>
          <rPr>
            <sz val="8"/>
            <color indexed="81"/>
            <rFont val="Tahoma"/>
            <family val="2"/>
          </rPr>
          <t xml:space="preserve">Select one of the pre-defined queries.
Queries can be added/customized form the "Queries" worksheet.
</t>
        </r>
      </text>
    </comment>
    <comment ref="E7" authorId="0">
      <text>
        <r>
          <rPr>
            <sz val="8"/>
            <color indexed="81"/>
            <rFont val="Tahoma"/>
            <family val="2"/>
          </rPr>
          <t>Define here the time filter that will be used when querying AWR. The default is the current time (sysdate). You can use any valid SQL time expression.</t>
        </r>
      </text>
    </comment>
    <comment ref="E8" authorId="0">
      <text>
        <r>
          <rPr>
            <sz val="8"/>
            <color indexed="81"/>
            <rFont val="Tahoma"/>
            <family val="2"/>
          </rPr>
          <t xml:space="preserve">Define here the time filter that will be used when querying AWR. The default is 1 week of data.Define here the time filter that will be used when querying AWR. The default is the current time minus 7 days  (sysdate - 7). You can use any valid SQL time expression.
</t>
        </r>
      </text>
    </comment>
    <comment ref="E9" author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0" authorId="0">
      <text>
        <r>
          <rPr>
            <sz val="8"/>
            <color indexed="81"/>
            <rFont val="Tahoma"/>
            <family val="2"/>
          </rPr>
          <t xml:space="preserve">When this is set to True, a window will pop up for review and optional editing of the SQL before execution.
</t>
        </r>
      </text>
    </comment>
    <comment ref="E10" author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19" authorId="0">
      <text>
        <r>
          <rPr>
            <sz val="8"/>
            <color indexed="81"/>
            <rFont val="Tahoma"/>
            <family val="2"/>
          </rPr>
          <t>Set to False when not using one of the pre-defined queries</t>
        </r>
      </text>
    </comment>
  </commentList>
</comments>
</file>

<file path=xl/connections.xml><?xml version="1.0" encoding="utf-8"?>
<connections xmlns="http://schemas.openxmlformats.org/spreadsheetml/2006/main">
  <connection id="1" name="Connection" type="7" refreshedVersion="4" background="1" saveData="1"/>
</connections>
</file>

<file path=xl/sharedStrings.xml><?xml version="1.0" encoding="utf-8"?>
<sst xmlns="http://schemas.openxmlformats.org/spreadsheetml/2006/main" count="176" uniqueCount="174">
  <si>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</si>
  <si>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</si>
  <si>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</si>
  <si>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</si>
  <si>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</si>
  <si>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</si>
  <si>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</si>
  <si>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</si>
  <si>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</si>
  <si>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</si>
  <si>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</si>
  <si>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</si>
  <si>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</si>
  <si>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</si>
  <si>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</si>
  <si>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</si>
  <si>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</si>
  <si>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</si>
  <si>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</si>
  <si>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</si>
  <si>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</si>
  <si>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</si>
  <si>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</si>
  <si>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</si>
  <si>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</si>
  <si>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</si>
  <si>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</si>
  <si>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</si>
  <si>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</si>
  <si>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</si>
  <si>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</si>
  <si>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</si>
  <si>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</si>
  <si>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</si>
  <si>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</si>
  <si>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</si>
  <si>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</si>
  <si>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</si>
  <si>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</si>
  <si>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Add query name and details in this line. You would also need to edit the ListFillRange property of drop-down control for query selection, see Main worksheet, cell F9</t>
  </si>
  <si>
    <t>Data export name template:</t>
  </si>
  <si>
    <t>Perfsheet4_AWR_ioevent_histogram</t>
  </si>
  <si>
    <t>Perfsheet4_AWR_sysmetric</t>
  </si>
  <si>
    <t>Perfsheet4_AWR_service_stat</t>
  </si>
  <si>
    <t>Perfsheet4_AWR_sysstat</t>
  </si>
  <si>
    <t>Perfsheet4_AWR_system_event</t>
  </si>
  <si>
    <t>EXEC DBMS_WORKLOAD_REPOSITORY.MODIFY_SNAPSHOT_SETTINGS(interval =&gt; 60,retention =&gt; 40320)</t>
  </si>
  <si>
    <t>select cast(min(sn.begin_interval_time) over (partition by sn.dbid,sn.snap_id) as date) snap_time,  --workaround to uniform snap_time over all instances in RAC
 --ss.dbid,  --uncomment if you have multiple dbid in your AWR
 sn.instance_number,
    ss.event_name,
 ss.wait_class,
 ss.total_waits,
    ss.time_waited_micro,
 ss.total_waits - lag(ss.total_waits) over (partition by ss.dbid,ss.instance_number,ss.event_id order by sn.snap_id nulls first) Delta_waits,
 ss.time_waited_micro - lag(ss.time_waited_micro) over (partition by ss.dbid,ss.instance_number,ss.event_id order by sn.snap_id nulls first) Delta_timewaited,
 round((ss.total_waits - lag(ss.total_waits)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Waits_per_sec,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round((ss.time_waited_micro - lag(ss.time_waited_micro) over (partition by ss.dbid,ss.instance_number,ss.event_id order by sn.snap_id nulls first)) /
           nullif(ss.total_waits - lag(ss.total_waits) over (partition by ss.dbid,ss.instance_number,ss.event_id order by sn.snap_id nulls first),0),2) Avg_wait_time_micro
from dba_hist_system_event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</si>
  <si>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ss.stat_name,
 ss.value,
 ss.value - lag(ss.value) over (partition by ss.dbid,ss.instance_number,ss.stat_id order by sn.snap_id nulls first) Delta_value,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Rate_value
from dba_hist_sysstat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</si>
  <si>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ss.service_name,
 ss.stat_name,
 ss.value,
 ss.value - lag(ss.value) over (partition by ss.dbid,ss.instance_number,ss.stat_id,ss.service_name order by sn.snap_id nulls first) Delta_value,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ss.dbid,ss.instance_number,ss.stat_id,ss.service_name order by sn.snap_id nulls first)) /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END_INTERVAL_TIME-begin_interval_time)),2 ) Rate_value
from dba_hist_service_stat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</si>
  <si>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ss.metric_name||' - '||ss.metric_unit metric_name_unit,
 ss.maxval,
 ss.average,
 ss.standard_deviation
from dba_hist_sysmetric_summary ss,
     dba_hist_snapshot sn
where
  sn.snap_id = ss.snap_id
 and sn.dbid = ss.dbid
 and sn.instance_number = ss.instance_number
 and sn.begin_interval_time &amp;delta_time_where_clause
order by sn.snap_id</t>
  </si>
  <si>
    <t>Perfsheet4_query_AWR_Waitclass_and_CPU.sql</t>
  </si>
  <si>
    <t>Perfsheet4_AWR_Waitclass_and_CPU</t>
  </si>
  <si>
    <t>Wait events per class (dba_hist_system_event)</t>
  </si>
  <si>
    <t>select snap_time, snap_id, instance_number, Wait_class, sum(Rate_timewaited) Rate_timewaited_per_Class 
from (
     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Wait_class
    from dba_hist_system_event ss,
       dba_hist_snapshot sn
    where
       sn.snap_id = ss.snap_id
       and sn.dbid = ss.dbid
       and sn.instance_number = ss.instance_number
       and sn.begin_interval_time &amp;delta_time_where_clause
       and wait_class &lt;&gt;'Idle'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'CPU' Wait_class      
    from dba_hist_sysstat ss,
       dba_hist_snapshot sn
    where
       sn.snap_id = ss.snap_id
       and sn.dbid = ss.dbid
       and sn.instance_number = ss.instance_number
       and sn.begin_interval_time &amp;delta_time_where_clause
       and ss.stat_name='CPU used by this session' -- I don't believe I need to add 'recursive cpu usage' and 'parse time cpu', at least not in 11gR2
) group by snap_time, snap_id, instance_number, Wait_class</t>
  </si>
  <si>
    <t xml:space="preserve">Change AWR snapshot interval and retention if needed. Example: </t>
  </si>
  <si>
    <t>Step 1: Load data into Excel</t>
  </si>
  <si>
    <t>Step 2: Plot data</t>
  </si>
  <si>
    <t>Getting started video:</t>
  </si>
  <si>
    <t>Perfsheet4_query_AWR_iostat_detail.sql</t>
  </si>
  <si>
    <t>Perfsheet4_AWR_iostat_detail</t>
  </si>
  <si>
    <t>select cast(min(sn.begin_interval_time) over (partition by sn.dbid,sn.snap_id) as date) snap_time,  --workaround to uniform snap_time over all instances in RAC
 --ss.dbid,  --uncomment if you have multiple dbid in your AWR
 sn.instance_number,
 io.function_name,
 io.filetype_name,
    round((io.small_read_reqs - lag(io.small_read_reqs)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Rate_small_read_reqs,
    round((io.large_read_megabytes - lag(io.large_read_megabytes)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Rate_large_read_megabytes,
    round((io.small_write_reqs - lag(io.small_write_reqs)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Rate_small_write_reqs,
    round((io.large_write_megabytes - lag(io.large_write_megabytes)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Rate_large_write_megabytes,
    round((io.wait_time - lag(io.wait_time)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Rate_wait_time
from dba_hist_iostat_detail io,
     dba_hist_snapshot sn
where
  sn.snap_id = io.snap_id
 and sn.dbid = io.dbid
 and sn.instance_number = io.instance_number
 and sn.begin_interval_time &amp;delta_time_where_clause
order by sn.snap_id</t>
  </si>
  <si>
    <t>Oracle ODBC</t>
  </si>
  <si>
    <t>ODBC name</t>
  </si>
  <si>
    <t>End time</t>
  </si>
  <si>
    <t>Start time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</si>
  <si>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</si>
  <si>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</si>
  <si>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</si>
  <si>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</si>
  <si>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</si>
  <si>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</si>
  <si>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</si>
  <si>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</si>
  <si>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</si>
  <si>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</si>
  <si>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Version: 3.7, February 2015. First release: March 2013</t>
  </si>
  <si>
    <t>Perfsheet4 is a tool for Oracle performance analysis</t>
  </si>
  <si>
    <t>It provides a simplified interface to extract and visualize AWR data using Excel pivot charts</t>
  </si>
  <si>
    <t>select cast(min(sn.begin_interval_time) over (partition by sn.dbid,sn.snap_id) as date) snap_time,  --workaround to uniform snap_time over all instances in RAC
 --eh.dbid,  --uncomment if you have multiple dbid in your AWR
 sn.instance_number,
 eh.event_name,
 eh.wait_time_milli,
 --eh.wait_count,
 eh.wait_count - lag(eh.wait_count) over (partition by eh.dbid,eh.instance_number,eh.event_id,eh.wait_time_milli order by sn.snap_id nulls first) Delta_wait_count,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Rate_wait_count_per_bin,
        0.75 * eh.wait_time_milli *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Rate_wait_time_per_bin
from dba_hist_event_histogram eh,
     dba_hist_snapshot sn
where
    sn.snap_id = eh.snap_id
and sn.dbid = eh.dbid
and sn.instance_number = eh.instance_number
and sn.begin_interval_time &amp;delta_time_where_clause
and eh.wait_class in ('User I/O','System I/O','Commit')  -- need to limit search or dump file can grow too big
order by sn.snap_id</t>
  </si>
  <si>
    <t>Authors: Luca.Canali@cern.ch, from the original concept by Tanel@TanelPoder.com</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</si>
  <si>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</si>
  <si>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</si>
  <si>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</si>
  <si>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</si>
  <si>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</si>
  <si>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</si>
  <si>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</si>
  <si>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 xml:space="preserve">      Additional credits: DB_Group@CERN, Rhojel Echano, Hans-Peter Sloot, Wellington Prado</t>
  </si>
  <si>
    <t>The "Query AWR" function needs a Oracle (instant) client. Note also Oracle licensing for AWR</t>
  </si>
  <si>
    <t>Use with Oracle versions 11.2.0.x and 12.1.0.x. Run with Excel 2010 or 2013 on Win7/8.1</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</si>
  <si>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</si>
  <si>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</si>
  <si>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</si>
  <si>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</si>
  <si>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</si>
  <si>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</si>
  <si>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</si>
  <si>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</si>
  <si>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</si>
  <si>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</si>
  <si>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</si>
  <si>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http://youtu.be/sdvx4zB-fvo</t>
  </si>
  <si>
    <t>Extract data from dba_hist_inst_cache_transfer. This query shows avg CR and CURRENT block transfer times</t>
  </si>
  <si>
    <t>select cast(min(sn.begin_interval_time) over (partition by sn.dbid,sn.snap_id) as date) snap_time,  --workaround to uniform snap_time over all instances in RAC_x000D_
	--ss.dbid,  --uncomment if you have multiple dbid in your AWR_x000D_
	sn.instance_number,_x000D_
	ss.instance || '-&gt;' || sn.instance_number   transfer,_x000D_
	ss.class,_x000D_
	(ss.lost - lag(ss.lost) over (partition by ss.dbid,ss.instance_number,ss.instance,ss.class order by sn.snap_id nulls first)) BLOCKS_LOST,_x000D_
	(ss.lost_time - lag(ss.lost_time) over (partition by ss.dbid,ss.instance_number,ss.instance,ss.class order by sn.snap_id nulls first))/_x000D_
	decode((ss.lost - lag(ss.lost) over (partition by ss.dbid,ss.instance_number,ss.instance,ss.class order by sn.snap_id nulls first)),0,NULL,(ss.lost - lag(ss.lost) over (partition by ss.dbid,ss.instance_number,ss.instance,ss.class order by sn.snap_id nulls first)))/1000 BLOCKS_LOST_TIME,_x000D_
	(ss.cr_block - lag(ss.cr_block) over (partition by ss.dbid,ss.instance_number,ss.instance,ss.class order by sn.snap_id nulls first)) CR_BLOCK_REC_IMMED,_x000D_
	round((ss.cr_2hop - lag(ss.cr_2hop) over (partition by ss.dbid,ss.instance_number,ss.instance,ss.class order by sn.snap_id nulls first))*100/_x000D_
	nullif(ss.cr_block - lag(ss.cr_block) over (partition by ss.dbid,ss.instance_number,ss.instance,ss.class order by sn.snap_id nulls first),0),2) CR_2HOP_PCT,_x000D_
	round((ss.cr_3hop - lag(ss.cr_3hop) over (partition by ss.dbid,ss.instance_number,ss.instance,ss.class order by sn.snap_id nulls first))*100/_x000D_
	nullif(ss.cr_block - lag(ss.cr_block) over (partition by ss.dbid,ss.instance_number,ss.instance,ss.class order by sn.snap_id nulls first),0),2) CR_3HOP_PCT,_x000D_
	(ss.current_block - lag(ss.current_block) over (partition by ss.dbid,ss.instance_number,ss.instance,ss.class order by sn.snap_id nulls first)) CU_BLOCK_REC_IMMED,_x000D_
	round((ss.current_2hop - lag(ss.current_2hop) over (partition by ss.dbid,ss.instance_number,ss.instance,ss.class order by sn.snap_id nulls first))*100/_x000D_
	nullif(ss.current_block - lag(ss.current_block) over (partition by ss.dbid,ss.instance_number,ss.instance,ss.class order by sn.snap_id nulls first),0),2) CU_2HOP_PCT,_x000D_
	round((ss.current_3hop - lag(ss.current_3hop) over (partition by ss.dbid,ss.instance_number,ss.instance,ss.class order by sn.snap_id nulls first))*100/_x000D_
	nullif(ss.current_block - lag(ss.current_block) over (partition by ss.dbid,ss.instance_number,ss.instance,ss.class order by sn.snap_id nulls first),0),2) CU_3HOP_PCT,_x000D_
	--Time_x000D_
	round((ss.cr_block_time - lag(ss.cr_block_time) over (partition by ss.dbid,ss.instance_number,ss.instance,ss.class order by sn.snap_id nulls first))/_x000D_
	nullif(ss.cr_block - lag(ss.cr_block) over (partition by ss.dbid,ss.instance_number,ss.instance,ss.class order by sn.snap_id nulls first),0)/1000,2) AVG_CR_MS,_x000D_
	round((ss.cr_2hop_time - lag(ss.cr_2hop_time) over (partition by ss.dbid,ss.instance_number,ss.instance,ss.class order by sn.snap_id nulls first))/_x000D_
	nullif(ss.cr_2hop - lag(ss.cr_2hop) over (partition by ss.dbid,ss.instance_number,ss.instance,ss.class order by sn.snap_id nulls first),0)/1000,2) AVG_CR_2HOP_MS,_x000D_
	round((ss.cr_3hop_time - lag(ss.cr_3hop_time) over (partition by ss.dbid,ss.instance_number,ss.instance,ss.class order by sn.snap_id nulls first))/_x000D_
	nullif(ss.cr_3hop - lag(ss.cr_3hop) over (partition by ss.dbid,ss.instance_number,ss.instance,ss.class order by sn.snap_id nulls first),0)/1000,2) AVG_CR_3HOP_MS,_x000D_
	round((ss.current_block_time - lag(ss.current_block_time) over (partition by ss.dbid,ss.instance_number,ss.instance,ss.class order by sn.snap_id nulls first))/_x000D_
	nullif(ss.current_block - lag(ss.current_block) over (partition by ss.dbid,ss.instance_number,ss.instance,ss.class order by sn.snap_id nulls first),0)/1000,2) AVG_CU_MS,_x000D_
	round((ss.current_2hop_time - lag(ss.current_2hop_time) over (partition by ss.dbid,ss.instance_number,ss.instance,ss.class order by sn.snap_id nulls first))/_x000D_
	nullif(ss.current_2hop - lag(ss.current_2hop) over (partition by ss.dbid,ss.instance_number,ss.instance,ss.class order by sn.snap_id nulls first),0)/1000,2) AVG_CU_2HOP_MS,_x000D_
	round((ss.current_3hop_time - lag(ss.current_3hop_time) over (partition by ss.dbid,ss.instance_number,ss.instance,ss.class order by sn.snap_id nulls first))/_x000D_
	nullif(ss.current_3hop - lag(ss.current_3hop) over (partition by ss.dbid,ss.instance_number,ss.instance,ss.class order by sn.snap_id nulls first),0)/1000,2) AVG_CU_3HOP_MS_x000D_
from dba_hist_inst_cache_transfer ss,_x000D_
     dba_hist_snapshot sn_x000D_
where_x000D_
    sn.snap_id = ss.snap_id_x000D_
and sn.dbid = ss.dbid_x000D_
and sn.instance_number = ss.instance_number_x000D_
and sn.begin_interval_time &amp;delta_time_where_clause_x000D_
and cr_block &gt; 0_x000D_
and current_block &gt; 0_x000D_
order by sn.snap_id</t>
  </si>
  <si>
    <t>SNAP_TIME</t>
  </si>
  <si>
    <t>INSTANCE_NUMBER</t>
  </si>
  <si>
    <t>Grand Total</t>
  </si>
  <si>
    <t>Perfsheet4_query_AWR_cache_transfer_immediate.sql</t>
  </si>
  <si>
    <t>Perfsheet4_query_AWR_cache_transfer_immediate</t>
  </si>
  <si>
    <t>Extract data from dba_hist_interconnect_pings. This query shows ping statistics</t>
  </si>
  <si>
    <t>Perfsheet4_query_AWR_ping_statistics.sql</t>
  </si>
  <si>
    <t>Perfsheet4_query_AWR_ping_statistics</t>
  </si>
  <si>
    <t>select cast(min(sn.begin_interval_time) over (partition by sn.dbid,sn.snap_id) as date) snap_time,  --workaround to uniform snap_time over all instances in RAC_x000D_
	--ss.dbid,  --uncomment if you have multiple dbid in your AWR_x000D_
	ss.instance_number,_x000D_
	ss.instance_number || '-&gt;' || ss.target_instance SRC_TGT,_x000D_
	(ss.cnt_500b - lag(ss.cnt_500b) over (partition by ss.dbid,ss.instance_number,ss.target_instance order by sn.snap_id nulls first)) PING_COUNT_500B,_x000D_
	(ss.wait_500b - lag(ss.wait_500b) over (partition by ss.dbid,ss.instance_number,ss.target_instance order by sn.snap_id nulls first)) TIME_S_500B,_x000D_
	case when (ss.cnt_500b - lag(ss.cnt_500b) over (partition by ss.dbid,ss.instance_number,ss.target_instance order by sn.snap_id nulls first)) = 0 then_x000D_
		null_x000D_
	else_x000D_
		(ss.wait_500b - lag(ss.wait_500b) over (partition by ss.dbid,ss.instance_number,ss.target_instance order by sn.snap_id nulls first))/_x000D_
		(ss.cnt_500b - lag(ss.cnt_500b) over (partition by ss.dbid,ss.instance_number,ss.target_instance order by sn.snap_id nulls first))/1000 _x000D_
	end AVG_TIME_MS_500B,_x000D_
	(ss.cnt_8k - lag(ss.cnt_8k) over (partition by ss.dbid,ss.instance_number,ss.target_instance order by sn.snap_id nulls first)) PING_COUNT_8K,_x000D_
	(ss.wait_8k - lag(ss.wait_8k) over (partition by ss.dbid,ss.instance_number,ss.target_instance order by sn.snap_id nulls first)) TIME_S_8K,_x000D_
	case when (ss.cnt_8k - lag(ss.cnt_8k) over (partition by ss.dbid,ss.instance_number,ss.target_instance order by sn.snap_id nulls first)) = 0 then_x000D_
		null_x000D_
	else_x000D_
	(ss.wait_8k - lag(ss.wait_8k) over (partition by ss.dbid,ss.instance_number,ss.target_instance order by sn.snap_id nulls first))/_x000D_
	(ss.cnt_8k - lag(ss.cnt_8k) over (partition by ss.dbid,ss.instance_number,ss.target_instance order by sn.snap_id nulls first))/1000 _x000D_
	end AVG_TIME_MS_8K_x000D_
from dba_hist_interconnect_pings ss,_x000D_
     dba_hist_snapshot sn_x000D_
where_x000D_
    sn.snap_id = ss.snap_id_x000D_
and sn.dbid = ss.dbid_x000D_
and sn.instance_number = ss.instance_number_x000D_
and sn.begin_interval_time &amp;delta_time_where_clause_x000D_
order by sn.snap_id</t>
  </si>
  <si>
    <t>u267399</t>
  </si>
  <si>
    <t>cbpdei</t>
  </si>
  <si>
    <t>RAC - Global Cache and Enqueue Statistics</t>
  </si>
  <si>
    <t>RAC - Global Cache Transfer Stats</t>
  </si>
  <si>
    <t>RAC - Interconnect Stats</t>
  </si>
  <si>
    <t xml:space="preserve">     Global Cache Transfer Immediate (dba_hist_inst_cache_transfer)</t>
  </si>
  <si>
    <t xml:space="preserve">     Ping Statistics source to target (dba_hist_interconnect_pings)</t>
  </si>
  <si>
    <t xml:space="preserve">     Global Cache Efficiency</t>
  </si>
  <si>
    <t>Perfsheet4_query_AWR_global_cache_efficiency.sql</t>
  </si>
  <si>
    <t>Perfsheet4_query_AWR_global_cache_efficiency</t>
  </si>
  <si>
    <t>sysdate</t>
  </si>
  <si>
    <t>sysdate-1</t>
  </si>
  <si>
    <t>Data</t>
  </si>
  <si>
    <t xml:space="preserve">     Global Cache and Enqueue Workload Statistics</t>
  </si>
  <si>
    <t>SELECT
       snap_time
     , instance_number
     , glgt*10/decode((glag+glsg),0,null,(glag+glsg))    "GE Get Time(ms)"
     , gccrrt*10/decode(gccrrv,0,null,gccrrv)            "CR Blocks Receive Time(ms)"
     , gccrbt*10/decode(gccrsv,0,null,gccrsv)            "CR Blocks Build Time(ms)"
     , gccrst*10/decode(gccrsv,0,null,gccrsv)            "CR Blocks Send Time(ms)"
     , gccrft*10/decode(gccrfl,0,null,gccrfl)            "CR Blocks Flush Time(ms)"
     , gccrfl        /decode(gccrsv,0,null,gccrsv)*100   "CR Blocks Log Flush CR Srvd%"
     , gccurt*10/decode(gccurv,0,null,gccurv)            "CU Blocks Receive Time(ms)"
     , gccupt*10/decode(gccusv,0,null,gccusv)            "CU Blocks Build Time(ms)"
     , gccust*10/decode(gccusv,0,null,gccusv)            "CU Blocks Send Time(ms)"
     , gccuft*10/decode(gccufl,0,null,gccufl)            "CU Blocks Flush Time(ms)"
     , gccufl        /decode(gccusv,0,null,gccusv)*100   "CU Blocks Log Flush CR Srvd%"
FROM
       (
              SELECT
                     CAST(MIN(sn.begin_interval_time) over (partition BY sn.dbid,sn.snap_id) AS DATE) snap_time
                   , --workaround to uniform snap_time over all instances in RAC ss.dbid,  
       --uncomment if you have multipledbid in your AWR
                     sn.instance_number
             , ss.gccrrv - lag(ss.gccrrv) over (partition BY  ss.dbid,ss.instance_number order by sn.snap_id nulls FIRST)  gccrrv
                   , ss.gccrrt - lag(ss.gccrrt) over (partition BY  ss.dbid,ss.instance_number order by sn.snap_id nulls FIRST)  gccrrt
                   , ss.gccurv - lag(ss.gccurv) over (partition BY  ss.dbid,ss.instance_number order by sn.snap_id  nulls FIRST) gccurv
                   , ss.gccurt - lag(ss.gccurt) over (partition BY  ss.dbid,ss.instance_number order by sn.snap_id  nulls FIRST) gccurt
                   , ss.gccrsv - lag(ss.gccrsv) over (partition BY  ss.dbid,ss.instance_number order by sn.snap_id  nulls FIRST) gccrsv
       , ss.gccrbt - lag(ss.gccrbt) over (partition BY  ss.dbid,ss.instance_number order by sn.snap_id  nulls FIRST) gccrbt
       , ss.gccrst - lag(ss.gccrst) over (partition BY  ss.dbid,ss.instance_number order by sn.snap_id  nulls FIRST) gccrst
       , ss.gccrft - lag(ss.gccrft) over (partition BY  ss.dbid,ss.instance_number order by sn.snap_id  nulls FIRST) gccrft
       , ss.gccusv - lag(ss.gccusv) over (partition BY  ss.dbid,ss.instance_number order by sn.snap_id  nulls FIRST) gccusv
       , ss.gccupt - lag(ss.gccupt) over (partition BY  ss.dbid,ss.instance_number order by sn.snap_id  nulls FIRST) gccupt
       , ss.gccust - lag(ss.gccust) over (partition BY  ss.dbid,ss.instance_number order by sn.snap_id  nulls FIRST) gccust
       , ss.gccuft - lag(ss.gccuft) over (partition BY  ss.dbid,ss.instance_number order by sn.snap_id  nulls FIRST) gccuft
       , ss.glgt - lag(ss.glgt) over (partition BY  ss.dbid,ss.instance_number order by sn.snap_id  nulls FIRST) glgt
       , ss.glsg - lag(ss.glsg) over (partition BY  ss.dbid,ss.instance_number order by sn.snap_id  nulls FIRST) glsg
       , ss.glag - lag(ss.glag) over (partition BY  ss.dbid,ss.instance_number order by sn.snap_id  nulls FIRST) glag
       , crfl.gccrfl - lag(crfl.gccrfl) over (partition BY  ss.dbid,ss.instance_number order by sn.snap_id  nulls FIRST) gccrfl
       , cufl.gccufl - lag(cufl.gccufl) over (partition BY  ss.dbid,ss.instance_number order by sn.snap_id  nulls FIRST) gccufl
              FROM
                     dba_hist_snapshot sn
                   , (
                            SELECT
                                   *
                            FROM
                                   (
                                          SELECT
                                                 snap_id
                                               , dbid
                                               , instance_number
                                               , stat_name
                                               , NVL(value,0) value
                                          FROM
                                                 dba_hist_sysstat
                                          WHERE
                                                 stat_name IN (
                                                 'gc cr blocks received', 'gc cr block receive time'
            , 'gc current blocks received', 'gc current block receive time'
            , 'gc cr blocks served', 'gc cr block build time'
            , 'gc cr block flush time', 'gc cr block send time'
            , 'gc current block pin time', 'gc current blocks served'
            , 'gc current block send time', 'gc current block flush time'
            , 'global enqueue get time'
            , 'global enqueue gets sync', 'global enqueue gets async'
                                                 )
                                   )
                                   pivot (SUM(value) FOR stat_name IN
                                   ( 
            'gc cr blocks received'                gccrrv
           , 'gc cr block receive time'            gccrrt
           , 'gc current blocks received'          gccurv
           , 'gc current block receive time'       gccurt
           , 'gc cr blocks served'                 gccrsv
           , 'gc cr block build time'              gccrbt
           , 'gc cr block send time'               gccrst
           , 'gc cr block flush time'              gccrft
           , 'gc current blocks served'            gccusv
           , 'gc current block pin time'           gccupt
           , 'gc current block send time'          gccust
           , 'gc current block flush time'         gccuft
           , 'global enqueue get time'               glgt
           , 'global enqueue gets sync'              glsg
           , 'global enqueue gets async'             glag
           )
                                   )
                     )
                     ss
     , ( SELECT 
                 snap_id
                                , dbid
                                , instance_number
        , flushes gccrfl
      FROM dba_hist_cr_block_server
        ) crfl
     , ( SELECT   snap_id
                                , dbid
                                , instance_number
        , ((flush1+flush10+flush100+flush1000+flush10000) - (flush1+flush10+flush100+flush1000+flush10000)) gccufl
      FROM dba_hist_current_block_server
       ) cufl
              WHERE
                     sn.snap_id         = ss.snap_id
                 AND sn.dbid            = ss.dbid
                 AND sn.instance_number = ss.instance_number
     AND sn.snap_id         = crfl.snap_id
                 AND sn.dbid            = crfl.dbid
                 AND sn.instance_number = crfl.instance_number   
     AND sn.snap_id         = cufl.snap_id
                 AND sn.dbid            = cufl.dbid
                 AND sn.instance_number = cufl.instance_number       
                 AND sn.begin_interval_time
                     &amp;delta_time_where_clause
              ORDER BY
                     sn.snap_id
       ) 
    WHERE 
   gccrrv is not null 
  AND gccrrt is not null
  AND gccurv is not null
  AND gccurt is not null
  AND gccrsv is not null
 ORDER BY instance_number, snap_time</t>
  </si>
  <si>
    <t>SELECT
       snap_time
     , instance_number
     , (100*(1-(phyrc + gccrrv + gccurv)/(cgfc+dbfc))) "Local%"
     , (100*(gccurv+gccrrv)/(cgfc+dbfc)) "Remote%"
     , (100*phyrc/(cgfc+dbfc)) "Disk%"
FROM
       (
              SELECT
                     CAST(MIN(sn.begin_interval_time) over (partition BY sn.dbid,sn.snap_id) AS DATE) snap_time
                   , --workaround to uniform snap_time over all instances in RAC ss.dbid,  
       --uncomment if you have multipledbid in your AWR
                     sn.instance_number
             , ss.gccrrv - lag(ss.gccrrv) over (partition BY  ss.dbid,ss.instance_number order by sn.snap_id nulls FIRST) gccrrv
                   , ss.gccurv - lag(ss.gccurv) over (partition BY  ss.dbid,ss.instance_number order by sn.snap_id nulls FIRST) gccurv
                   , ss.phyrc - lag(ss.phyrc) over (partition BY ss.dbid,ss.instance_number order by sn.snap_id  nulls FIRST) phyrc
                   , ss.cgfc - lag(ss.cgfc) over (partition BY  ss.dbid,ss.instance_number order by sn.snap_id  nulls FIRST) cgfc
                   , ss.dbfc - lag(ss.dbfc) over (partition BY  ss.dbid,ss.instance_number order by sn.snap_id  nulls FIRST) dbfc
              FROM
                     dba_hist_snapshot sn
                   , (
                            SELECT
                                   *
                            FROM
                                   (
                                          SELECT
                                                 snap_id
                                               , dbid
                                               , instance_number
                                               , stat_name
                                               , NVL(value,0) value
                                          FROM
                                                 dba_hist_sysstat
                                          WHERE
                                                 stat_name IN (
                                                 'gc cr blocks received'
                                                 ,'gc current blocks received'
                                                 ,'physical reads cache'
                                                 ,'consistent gets from cache'
                                                 ,'db block gets from cache'
                                                 )
                                   )
                                   pivot (SUM(value) FOR stat_name IN
                                   ( 'gc cr blocks received' gccrrv ,
                                   'gc current blocks received' gccurv , 
           'physical reads cache'   phyrc ,
                                   'consistent gets from cache' cgfc
                                   , 'db block gets from cache' dbfc)
                                   )
                     )
                     ss
              WHERE
                     sn.snap_id         = ss.snap_id
                 AND sn.dbid            = ss.dbid
                 AND sn.instance_number = ss.instance_number
                 AND sn.begin_interval_time
                     &amp;delta_time_where_clause
              ORDER BY
                     sn.snap_id
       ) 
    WHERE 
   gccrrv is not null 
  AND gccurv is not null
  AND phyrc is not null
  AND cgfc is not null
  AND dbfc is not null
  ORDER BY instance_number, snap_time</t>
  </si>
  <si>
    <t>Perfsheet4_query_AWR_global_cache_enqueue_messaging_stats</t>
  </si>
  <si>
    <t>Perfsheet4_query_AWR_global_cache_enqueue_messaging_stats.sql</t>
  </si>
  <si>
    <t>Perfsheet4_query_AWR_global_cache_enqueue_workload_stats.sql</t>
  </si>
  <si>
    <t>Perfsheet4_query_AWR_global_cache_enqueue_workload_stats</t>
  </si>
  <si>
    <t xml:space="preserve">     Global Cache and Enqueue Messaging Statistics</t>
  </si>
  <si>
    <t>SELECT
       snap_time
     , instance_number
     , msgsqt /decode(msgsq,0,null,msgsq)                          "Que Time(ms) Sent"
     , msgsqtk/decode(msgsqk,0,null,msgsqk)                        "Que Time(ms) on ksxp"
     , msgrqt /decode(msgrq,0,null,msgrq)                          "Que Time(ms) Received"
     , pmpt   /decode(pmrv,0,null,pmrv)                            "Process Time GCS msgs"
     , npmpt  /decode(npmrv,0,null,npmrv)                          "Proces Time GES msgs"
     , 100*dmsd/decode((dmsd+dmsi+dmfc),0,null,(dmsd+dmsi+dmfc))   "%Message Sent Direct"
     , 100*dmsi/decode((dmsd+dmsi+dmfc),0,null,(dmsd+dmsi+dmfc))   "%Message Sent Indirect"
     , 100*dmfc/decode((dmsd+dmsi+dmfc),0,null,(dmsd+dmsi+dmfc))   "%Message Sent Flow Ctrl"
FROM
       (
              SELECT
                     CAST(MIN(sn.begin_interval_time) over (partition BY sn.dbid,sn.snap_id) AS DATE) snap_time
                   , --workaround to uniform snap_time over all instances in RAC ss.dbid,  
       --uncomment if you have multipledbid in your AWR
                     sn.instance_number
             , ss.msgsq - lag(ss.msgsq) over (partition BY  ss.dbid,ss.instance_number order by sn.snap_id nulls FIRST) msgsq
                   , ss.msgsqt - lag(ss.msgsqt) over (partition BY  ss.dbid,ss.instance_number order by sn.snap_id nulls FIRST) msgsqt
                   , ss.msgsqtk - lag(ss.msgsqtk) over (partition BY ss.dbid,ss.instance_number order by sn.snap_id  nulls FIRST) msgsqtk
                   , ss.msgsqk - lag(ss.msgsqk) over (partition BY  ss.dbid,ss.instance_number order by sn.snap_id  nulls FIRST) msgsqk
                   , ss.msgrqt - lag(ss.msgrqt) over (partition BY  ss.dbid,ss.instance_number order by sn.snap_id  nulls FIRST) msgrqt
                   , ss.msgrq - lag(ss.msgrq) over (partition BY  ss.dbid,ss.instance_number order by sn.snap_id  nulls FIRST) msgrq
                   , ss.pmrv - lag(ss.pmrv) over (partition BY  ss.dbid,ss.instance_number order by sn.snap_id  nulls FIRST) pmrv       
                   , ss.pmpt - lag(ss.pmpt) over (partition BY  ss.dbid,ss.instance_number order by sn.snap_id  nulls FIRST) pmpt       
                   , ss.npmrv - lag(ss.npmrv) over (partition BY  ss.dbid,ss.instance_number order by sn.snap_id  nulls FIRST) npmrv       
                   , ss.npmpt - lag(ss.npmpt) over (partition BY  ss.dbid,ss.instance_number order by sn.snap_id  nulls FIRST) npmpt       
                   , ss.dmsd - lag(ss.dmsd) over (partition BY  ss.dbid,ss.instance_number order by sn.snap_id  nulls FIRST) dmsd
                   , ss.dmsi - lag(ss.dmsi) over (partition BY  ss.dbid,ss.instance_number order by sn.snap_id  nulls FIRST) dmsi
       , ss.dmfc - lag(ss.dmfc) over (partition BY  ss.dbid,ss.instance_number order by sn.snap_id  nulls FIRST) dmfc
              FROM
                     dba_hist_snapshot sn
                   , (
                            SELECT
                                   *
                            FROM
                                   (
                                          SELECT
                                                 snap_id
                                               , dbid
                                               , instance_number
                                               , name
                                               , NVL(value,0) value
                                          FROM
                                                 dba_hist_dlm_misc
                                          WHERE
                                                 name IN (
                                                 'msgs sent queued', 'msgs sent queue time (ms)'
            , 'msgs sent queue time on ksxp (ms)', 'msgs sent queued on ksxp'
            , 'msgs received queue time (ms)', 'msgs received queued'
            , 'gcs msgs received', 'gcs msgs process time(ms)'
            , 'ges msgs received', 'ges msgs process time(ms)'
            , 'messages sent directly', 'messages sent indirectly'
            , 'messages flow controlled'
                                                 )
                                   )
                                   pivot (SUM(value) FOR name IN
                                               ('msgs sent queued'                        msgsq
              , 'msgs sent queue time (ms)'              msgsqt
              , 'msgs sent queue time on ksxp (ms)'     msgsqtk
              , 'msgs sent queued on ksxp'               msgsqk
              , 'msgs received queue time (ms)'          msgrqt
              , 'msgs received queued'                    msgrq
              , 'gcs msgs received'                        pmrv
              , 'gcs msgs process time(ms)'                pmpt
              , 'ges msgs received'                       npmrv
              , 'ges msgs process time(ms)'               npmpt
              , 'messages sent directly'                   dmsd
              , 'messages sent indirectly'                 dmsi
              , 'messages flow controlled'                 dmfc
            )
          )  
                     )
                     ss
              WHERE
                     sn.snap_id         = ss.snap_id
                 AND sn.dbid            = ss.dbid
                 AND sn.instance_number = ss.instance_number
                 AND sn.begin_interval_time
                     &amp;delta_time_where_clause
              ORDER BY
                     sn.snap_id
       ) 
    WHERE 
   msgsq is not null 
  AND msgsqt is not null
  AND msgsqtk is not null
  AND msgsqk is not null
  AND msgrqt is not null
  ORDER BY instance_number, snap_time</t>
  </si>
  <si>
    <t xml:space="preserve">     CR Blocks Served Statistics</t>
  </si>
  <si>
    <t>Perfsheet4_query_AWR_cr_blocks_served_stats.sql</t>
  </si>
  <si>
    <t>Perfsheet4_query_AWR_cr_blocks_served_stats</t>
  </si>
  <si>
    <t>SELECT * from ( 
SELECT
        CAST(MIN(sn.begin_interval_time) over (partition BY sn.dbid,sn.snap_id) AS DATE) snap_time
       , --workaround to uniform snap_time over all instances in RAC ss.dbid,  
         --uncomment if you have multipledbid in your AWR
        sn.instance_number
      , ss.cr_requests - lag(ss.cr_requests) over (partition BY  ss.dbid,ss.instance_number order by sn.snap_id nulls FIRST)    "Blocks Req CR"
      , ss.current_requests - lag(ss.current_requests) over (partition BY  ss.dbid,ss.instance_number order by sn.snap_id nulls FIRST)  "Blocks Req CU"
      , ss.data_requests - lag(ss.data_requests) over (partition BY ss.dbid,ss.instance_number order by sn.snap_id  nulls FIRST)        "Blocks Req Data"
      , ss.undo_requests - lag(ss.undo_requests) over (partition BY  ss.dbid,ss.instance_number order by sn.snap_id  nulls FIRST)       "Blocks Req Undo"
      , ss.tx_requests - lag(ss.tx_requests) over (partition BY  ss.dbid,ss.instance_number order by sn.snap_id  nulls FIRST)       "Blocks Req TX"
      , ss.current_results - lag(ss.current_results) over (partition BY  ss.dbid,ss.instance_number order by sn.snap_id  nulls FIRST)   "Results Current"
      , ss.private_results - lag(ss.private_results) over (partition BY  ss.dbid,ss.instance_number order by sn.snap_id  nulls FIRST)   "Results Private"  
      , ss.zero_results - lag(ss.zero_results) over (partition BY  ss.dbid,ss.instance_number order by sn.snap_id  nulls FIRST)         "Results Zero"
      , ss.disk_read_results - lag(ss.disk_read_results) over (partition BY  ss.dbid,ss.instance_number order by sn.snap_id  nulls FIRST) "Results Dsk Rd"     
      , ss.fail_results - lag(ss.fail_results) over (partition BY  ss.dbid,ss.instance_number order by sn.snap_id  nulls FIRST)   "Results Fail" 
      , ss.fairness_down_converts - lag(ss.fairness_down_converts) over (partition BY  ss.dbid,ss.instance_number order by sn.snap_id  nulls FIRST) "Fairness Down Conv"
      , ss.fairness_clears - lag(ss.fairness_clears) over (partition BY  ss.dbid,ss.instance_number order by sn.snap_id  nulls FIRST)  "Fairness Clears"
     , ss.free_gc_elements - lag(ss.free_gc_elements) over (partition BY  ss.dbid,ss.instance_number order by sn.snap_id  nulls FIRST)  "FreeGC Elems"
  , ss.flushes - lag(ss.flushes) over (partition BY  ss.dbid,ss.instance_number order by sn.snap_id  nulls FIRST)      "Flushes Total"
  , ss.flushes_queued - lag(ss.flushes_queued) over (partition BY  ss.dbid,ss.instance_number order by sn.snap_id  nulls FIRST)   "Flushes Queued"
  , ss.flush_queue_full - lag(ss.flush_queue_full) over (partition BY  ss.dbid,ss.instance_number order by sn.snap_id  nulls FIRST)  "Flushes QFull"
  , ss.flush_max_time - lag(ss.flush_max_time) over (partition BY  ss.dbid,ss.instance_number order by sn.snap_id  nulls FIRST)   "Flushes MaxTm"
  , ss.light_works - lag(ss.light_works) over (partition BY  ss.dbid,ss.instance_number order by sn.snap_id  nulls FIRST)    "Light Works"
  , ss.errors - lag(ss.errors) over (partition BY  ss.dbid,ss.instance_number order by sn.snap_id  nulls FIRST)       "Total Errors"
FROM
    dba_hist_snapshot sn
  , dba_hist_cr_block_server  ss
WHERE
    sn.snap_id         = ss.snap_id
AND sn.dbid            = ss.dbid
AND sn.instance_number = ss.instance_number
AND sn.begin_interval_time
    &amp;delta_time_where_clause )
WHERE "Blocks Req CR" is not null
ORDER BY
    instance_number, snap_time</t>
  </si>
  <si>
    <t xml:space="preserve">     Current Blocks Served Statistics</t>
  </si>
  <si>
    <t>SELECT
      snap_time
     ,instance_number
     , pins
     , nvl(pin1    /DECODE(pins,0,NULL,pins)*100,0) "Pins%&lt;1ms"
     , nvl(pin10   /DECODE(pins,0,NULL,pins)*100,0) "Pins%&lt;10ms"
     , nvl(pin100  /DECODE(pins,0,NULL,pins)*100,0) "Pins%&lt;100ms"
     , nvl(pin1000 /DECODE(pins,0,NULL,pins)*100,0) "Pins%&lt;1000ms"
     , nvl(pin10000/DECODE(pins,0,NULL,pins)*100,0) "Pins%&lt;10000ms"
     , flushes
     , nvl(flush1    /DECODE(flushes,0,NULL,flushes)*100,0) "Flushes%&lt;1ms"
     , nvl(flush10   /DECODE(flushes,0,NULL,flushes)*100,0) "Flushes%&lt;10ms"
     , nvl(flush100  /DECODE(flushes,0,NULL,flushes)*100,0) "Flushes%&lt;100ms"
     , nvl(flush1000 /DECODE(flushes,0,NULL,flushes)*100,0) "Flushes%&lt;1000ms"
     , nvl(flush10000/DECODE(flushes,0,NULL,flushes)*100,0) "Flushes%&lt;10000ms"
     , writes
     , nvl(write1    /DECODE(writes,0,NULL,writes)*100,0) "Writes%&lt;1ms"
     , nvl(write10   /DECODE(writes,0,NULL,writes)*100,0) "Writes%&lt;10ms"
     , nvl(write100  /DECODE(writes,0,NULL,writes)*100,0) "Writes%&lt;100ms"
     , nvl(write1000 /DECODE(writes,0,NULL,writes)*100,0) "Writes%&lt;1000ms"
     , nvl(write10000/DECODE(writes,0,NULL,writes)*100,0) "Writes%&lt;10000ms"
  FROM
       (
              SELECT
                     snap_time
                   ,instance_number
                   ,pin1
                   ,pin10
                   ,pin100
                   ,pin1000
                   ,pin10000
                   ,pin1+pin10+pin100+pin1000+pin10000 pins
                   ,flush1
                   ,flush10
                   ,flush100
                   ,flush1000
                   ,flush10000
                   ,flush1+flush10+flush100+flush1000+flush10000
                     flushes
                   ,write1
                   ,write10
                   ,write100
                   ,write1000
                   ,write10000
                   ,write1+write10+write100+write1000+write10000
                     writes
              FROM
                     (
                            SELECT
                                   CAST(MIN(sn.begin_interval_time)  over (partition BY sn.dbid, sn.snap_id) AS DATE) snap_time
                                  , --workaround to uniform snap_time over all instances in RAC ss.dbid,
                                    --uncomment if you have multipledbid in your AWR
                                   sn.instance_number
          , ss.pin1 - lag(ss.pin1) over (partition BY  ss.dbid,ss.instance_number order by sn.snap_id nulls FIRST)             pin1
          , ss.pin10 - lag(ss.pin10) over (partition BY  ss.dbid,ss.instance_number order by sn.snap_id nulls FIRST)         pin10
          , ss.pin100 - lag(ss.pin100) over (partition BY  ss.dbid,ss.instance_number order by sn.snap_id nulls FIRST)         pin100
          , ss.pin1000 - lag(ss.pin1000) over (partition BY  ss.dbid,ss.instance_number order by sn.snap_id nulls FIRST)     pin1000
          , ss.pin10000 - lag(ss.pin10000) over (partition BY  ss.dbid,ss.instance_number order by sn.snap_id nulls FIRST)     pin10000
          , ss.flush1 - lag(ss.flush1) over (partition BY  ss.dbid,ss.instance_number order by sn.snap_id nulls FIRST)            flush1
          , ss.flush10 - lag(ss.flush10) over (partition BY  ss.dbid,ss.instance_number order by sn.snap_id nulls FIRST)        flush10
          , ss.flush100 - lag(ss.flush100) over (partition BY  ss.dbid,ss.instance_number order by sn.snap_id nulls FIRST)        flush100
          , ss.flush1000 - lag(ss.flush1000) over (partition BY  ss.dbid,ss.instance_number order by sn.snap_id nulls FIRST)    flush1000
          , ss.flush10000 - lag(ss.flush10000) over (partition BY  ss.dbid,ss.instance_number order by sn.snap_id nulls FIRST)    flush10000
          , ss.write1 - lag(ss.write1) over (partition BY  ss.dbid,ss.instance_number order by sn.snap_id nulls FIRST)            write1
          , ss.write10 - lag(ss.write10) over (partition BY  ss.dbid,ss.instance_number order by sn.snap_id nulls FIRST)        write10
          , ss.write100 - lag(ss.write100) over (partition BY  ss.dbid,ss.instance_number order by sn.snap_id nulls FIRST)        write100
          , ss.write1000 - lag(ss.write1000) over (partition BY  ss.dbid,ss.instance_number order by sn.snap_id nulls FIRST)    write1000
          , ss.write10000 - lag(ss.write10000) over (partition BY  ss.dbid,ss.instance_number order by sn.snap_id nulls FIRST)    write10000
                            FROM
                                   dba_hist_snapshot sn
                                 , dba_hist_current_block_server ss
                            WHERE
                                   sn.snap_id         = ss.snap_id
                               AND sn.dbid            = ss.dbid
                               AND sn.instance_number =
                                   ss.instance_number
                               AND sn.begin_interval_time
                                   &amp;delta_time_where_clause
                     )
       )
ORDER BY
       snap_time
     ,instance_number</t>
  </si>
  <si>
    <t>Perfsheet4_query_AWR_current_blocks_served_stats.sql</t>
  </si>
  <si>
    <t>Perfsheet4_query_AWR_current_blocks_served_stats</t>
  </si>
  <si>
    <t xml:space="preserve">     Global Cache Transfer Stats</t>
  </si>
  <si>
    <t>SELECT
       snap_time
     , instance_number
     , instance
       || '-&gt;'
       || instance_number transfer
     , class
     , nvl(totcr,0)                    "CR Blocks Received"              
     , nvl(cr_block    /DECODE(totcr,0, to_number(NULL),totcr)*100,0)        "CR Blocks %Immed"
     , nvl(cr_busy     /DECODE(totcr,0, to_number(NULL),totcr)*100,0)        "CR Blocks %Busy"
     , nvl(cr_congested/DECODE(totcr,0, to_number(NULL),totcr)*100,0)         "CR Blocks %Cngst"
     , nvl(totcu,0)                    "CU Blocks Received"
     , nvl(current_block/DECODE(totcu,0, to_number(NULL),totcu)*100,0)             "CU Blocks %Immed"
     , nvl(current_busy     /DECODE(totcu,0, to_number(NULL),totcu)*100,0)       "CU Blocks %Busy"
     , nvl(current_congested/DECODE(totcu,0, to_number(NULL),totcu)*100,0)          "CU Blocks %Cngst"
     , nvl(totcr_t/DECODE(totcr, 0, NULL, totcr)/1000,0)            "CR Avg Time(ms) All"
     , nvl(cr_block_t/DECODE(cr_block, 0, NULL, cr_block)/1000,0)          "CR Avg Time(ms) Immed"
     , nvl(cr_busy_t /DECODE(cr_busy , 0, NULL, cr_busy )/1000,0)          "CR Avg Time(ms) Busy"
     , nvl(cr_congested_t/DECODE(cr_congested, 0, NULL, cr_congested)/1000,0)       "CR Avg Time(ms) Cngst"
     , nvl(totcu_t/DECODE(totcu, 0, NULL, totcu)/1000,0)            "CU Avg Time(ms) All"
     , nvl(current_block_t/ DECODE(current_block, 0, NULL, current_block)/1000,0)      "CU Avg Time(ms) All"
     , nvl(current_busy_t / DECODE(current_busy , 0, NULL, current_busy )/1000,0)      "CU Avg Time(ms) All"
     , nvl(current_congested_t/ DECODE(current_congested, 0, NULL,current_congested)/1000,0)   "CR Avg Time(ms) All"
FROM
       (
              SELECT
                     snap_time
                   ,instance_number
                   ,instance
                   ,class
                   ,SUM(cr_block) cr_block
                   ,SUM(cr_busy) cr_busy
                   ,SUM(cr_congested) cr_congested
                   ,SUM(current_block) current_block
                   ,SUM(current_busy) current_busy
                   ,SUM(current_congested) current_congested
                   ,SUM(cr_block     +cr_busy+cr_congested) totcr
                   ,SUM(current_block+current_busy+current_congested)
                     totcu
                   ,SUM(cr_block_time) cr_block_t
                   ,SUM(cr_busy_time) cr_busy_t
                   ,SUM(cr_congested_time) cr_congested_t
                   ,SUM(current_block_time) current_block_t
                   ,SUM(current_busy_time) current_busy_t
                   ,SUM(current_congested_time) current_congested_t
                   ,SUM(cr_block_time +cr_busy_time+cr_congested_time) totcr_t
                   ,SUM(current_block_time+current_busy_time+current_congested_time) totcu_t
              FROM
                     (
                            SELECT
                     CAST(MIN(sn.begin_interval_time) over (partition  BY sn.dbid,sn.snap_id) AS DATE) snap_time
                   , --workaround to uniform snap_time over all instances in RAC ss.dbid,
                     --uncomment if you have multipledbid in your AWR
                     ss.instance_number
                   , ss.instance
                   , CASE
                            WHEN ss.class IN ('data block',
                                   'undo header','undo block')
                            THEN ss.class
                            ELSE 'others'
                     END class
      , ss.cr_block - lag(ss.cr_block) over (partition BY  ss.dbid,ss.instance_number,ss.instance,ss.class order by sn.snap_id nulls FIRST)       cr_block
      , ss.cr_busy - lag(ss.cr_busy) over (partition BY  ss.dbid,ss.instance_number,ss.instance,ss.class order by sn.snap_id nulls FIRST)        cr_busy
      , ss.cr_congested - lag(ss.cr_congested) over (partition BY ss.dbid,ss.instance_number,ss.instance,ss.class order by sn.snap_id  nulls FIRST)           cr_congested
      , ss.current_block - lag(ss.current_block) over (partition BY  ss.dbid,ss.instance_number,ss.instance,ss.class order by sn.snap_id  nulls FIRST)        current_block
      , ss.current_busy - lag(ss.current_busy) over (partition BY  ss.dbid,ss.instance_number,ss.instance,ss.class order by sn.snap_id  nulls FIRST)    current_busy
      , ss.current_congested - lag(ss.current_congested) over (partition BY  ss.dbid,ss.instance_number,ss.instance,ss.class order by sn.snap_id  nulls FIRST)   current_congested
      , ss.cr_block_time - lag(ss.cr_block_time) over (partition BY  ss.dbid,ss.instance_number,ss.instance,ss.class order by sn.snap_id  nulls FIRST)     cr_block_time 
      , ss.cr_busy_time - lag(ss.cr_busy_time) over (partition BY  ss.dbid,ss.instance_number,ss.instance,ss.class order by sn.snap_id  nulls FIRST)          cr_busy_time
      , ss.cr_congested_time - lag(ss.cr_congested_time) over (partition BY  ss.dbid,ss.instance_number,ss.instance,ss.class order by sn.snap_id  nulls FIRST)  cr_congested_time     
      , ss.current_block_time - lag(ss.current_block_time) over (partition BY  ss.dbid,ss.instance_number,ss.instance,ss.class order by sn.snap_id  nulls FIRST) current_block_time
      , ss.current_busy_time - lag(ss.current_busy_time) over (partition BY  ss.dbid,ss.instance_number,ss.instance,ss.class order by sn.snap_id  nulls FIRST)   current_busy_time
      , ss.current_congested_time - lag(ss.current_congested_time) over (partition BY  ss.dbid,ss.instance_number,ss.instance,ss.class order by sn.snap_id  nulls FIRST) current_congested_time
                            FROM
                                   dba_hist_snapshot sn
                                 , dba_hist_inst_cache_transfer ss
                            WHERE
                                   sn.snap_id         = ss.snap_id
                               AND sn.dbid            = ss.dbid
                               AND sn.instance_number =
                                   ss.instance_number
                               AND sn.begin_interval_time
                                   &amp;delta_time_where_clause
                     )
              GROUP BY
                     snap_time
                   ,instance_number
                   ,instance
                   ,class
       )
ORDER BY
       snap_time
     ,instance_number</t>
  </si>
  <si>
    <t>Perfsheet4_query_AWR_cache_transfer_stats.sql</t>
  </si>
  <si>
    <t>Perfsheet4_query_AWR_cache_transfer_stats</t>
  </si>
  <si>
    <t xml:space="preserve">     Interconnect Client Statistics</t>
  </si>
  <si>
    <t xml:space="preserve">     Interconnect Device Statistics</t>
  </si>
  <si>
    <t xml:space="preserve">     Dynamic Remastering Statistics - per remaster Ops</t>
  </si>
  <si>
    <t>Perfsheet4_query_AWR_interconnect_client_stats.sql</t>
  </si>
  <si>
    <t>Perfsheet4_query_AWR_interconnect_client_stats</t>
  </si>
  <si>
    <t>SELECT
       snap_time
     , instance_number
     , (cache_bs + ipq_bs + dlm_bs + ping_bs + diag_bs + cgs_bs + osm_bs + str_bs + int_bs + ksv_bs + ksxr_bs)/1048576  "Sent MB Total"
     , cache_bs/1048576                                       "Sent MB Cache"
     , ipq_bs/1048576                                          "Sent MB IPQ"
     , dlm_bs/1048576                                          "Sent MB DLM"
     , ping_bs/1048576                                         "Sent MB PING"
     , (diag_bs + cgs_bs + osm_bs + str_bs + int_bs + ksv_bs + ksxr_bs)/1048576           "Sent MB Misc"
     , (cache_br + ipq_br + dlm_br + ping_br + diag_br + cgs_br + osm_br + str_br + int_br + ksv_br + ksxr_br)/1048576  "Rcvd MB Total"
     , cache_br/1048576                                       "Rcvd MB Cache"
     , ipq_br/1048576                                          "Rcvd MB IPQ"
     , dlm_br/1048576                                          "Rcvd MB DLM"
     , ping_br/1048576                                         "Rcvd MB PING"
     , (diag_br + cgs_br + osm_br + str_br + int_br + ksv_br + ksxr_br)/1048576           "Rcvd MB Misc"
FROM
       (
              SELECT
                     CAST(MIN(sn.begin_interval_time) over (partition BY sn.dbid,sn.snap_id) AS DATE)          snap_time
                   , --workaround to uniform snap_time over all instances in RAC ss.dbid,  
       --uncomment if you have multipledbid in your AWR
                     sn.instance_number
             , ss.dlm_bs - lag(ss.dlm_bs) over (partition BY  ss.dbid,ss.instance_number order by sn.snap_id nulls FIRST)    dlm_bs
                   , ss.cache_bs - lag(ss.cache_bs) over (partition BY  ss.dbid,ss.instance_number order by sn.snap_id nulls FIRST)   cache_bs
                   , ss.ping_bs - lag(ss.ping_bs) over (partition BY  ss.dbid,ss.instance_number order by sn.snap_id  nulls FIRST)  ping_bs
                   , ss.diag_bs - lag(ss.diag_bs) over (partition BY  ss.dbid,ss.instance_number order by sn.snap_id  nulls FIRST)   diag_bs
                   , ss.cgs_bs - lag(ss.cgs_bs) over (partition BY  ss.dbid,ss.instance_number order by sn.snap_id  nulls FIRST)   cgs_bs
       , ss.ksxr_bs - lag(ss.ksxr_bs) over (partition BY  ss.dbid,ss.instance_number order by sn.snap_id  nulls FIRST)   ksxr_bs
       , ss.ipq_bs - lag(ss.ipq_bs) over (partition BY  ss.dbid,ss.instance_number order by sn.snap_id  nulls FIRST)   ipq_bs
       , ss.osm_bs - lag(ss.osm_bs) over (partition BY  ss.dbid,ss.instance_number order by sn.snap_id  nulls FIRST)   osm_bs
       , ss.str_bs - lag(ss.str_bs) over (partition BY  ss.dbid,ss.instance_number order by sn.snap_id  nulls FIRST)   str_bs
       , ss.int_bs - lag(ss.int_bs) over (partition BY  ss.dbid,ss.instance_number order by sn.snap_id  nulls FIRST)   int_bs
       , ss.ksv_bs - lag(ss.ksv_bs) over (partition BY  ss.dbid,ss.instance_number order by sn.snap_id  nulls FIRST)   ksv_bs
             , ss.dlm_br - lag(ss.dlm_br) over (partition BY  ss.dbid,ss.instance_number order by sn.snap_id nulls FIRST)    dlm_br
                   , ss.cache_br - lag(ss.cache_br) over (partition BY  ss.dbid,ss.instance_number order by sn.snap_id nulls FIRST)   cache_br
                   , ss.ping_br - lag(ss.ping_br) over (partition BY  ss.dbid,ss.instance_number order by sn.snap_id  nulls FIRST)   ping_br
                   , ss.diag_br - lag(ss.diag_br) over (partition BY  ss.dbid,ss.instance_number order by sn.snap_id  nulls FIRST)   diag_br
                   , ss.cgs_br - lag(ss.cgs_br) over (partition BY  ss.dbid,ss.instance_number order by sn.snap_id  nulls FIRST)   cgs_br
       , ss.ksxr_br - lag(ss.ksxr_br) over (partition BY  ss.dbid,ss.instance_number order by sn.snap_id  nulls FIRST)   ksxr_br
       , ss.ipq_br - lag(ss.ipq_br) over (partition BY  ss.dbid,ss.instance_number order by sn.snap_id  nulls FIRST)   ipq_br
       , ss.osm_br - lag(ss.osm_br) over (partition BY  ss.dbid,ss.instance_number order by sn.snap_id  nulls FIRST)   osm_br
       , ss.str_br - lag(ss.str_br) over (partition BY  ss.dbid,ss.instance_number order by sn.snap_id  nulls FIRST)   str_br
       , ss.int_br - lag(ss.int_br) over (partition BY  ss.dbid,ss.instance_number order by sn.snap_id  nulls FIRST)   int_br
       , ss.ksv_br - lag(ss.ksv_br) over (partition BY  ss.dbid,ss.instance_number order by sn.snap_id  nulls FIRST)   ksv_br
              FROM
                     dba_hist_snapshot sn
                   , (
                                 SELECT
                                                 *
                                          FROM
                                                 dba_hist_ic_client_stats
                                   pivot (sum(bytes_sent) as bs,sum(bytes_received) as br for name in ('dlm' dlm
                                       ,'cache'    cache
                                       ,'ping'     ping
                                       ,'diag'     diag
                                       ,'cgs'      cgs
                                       ,'ksxr'     ksxr
                                       ,'ipq'      ipq
                                       ,'osmcache' osm
                                       ,'streams'  str
                                       ,'internal' int
                                       ,'ksv'      ksv)
                                   )
                     )
                     ss
              WHERE
                     sn.snap_id         = ss.snap_id
                 AND sn.dbid            = ss.dbid
                 AND sn.instance_number = ss.instance_number
                 AND sn.begin_interval_time
                     &amp;delta_time_where_clause
              ORDER BY
                     sn.snap_id
       ) 
 WHERE dlm_bs is not null
 ORDER BY snap_time,instance_number</t>
  </si>
  <si>
    <t>OS Statistics (dba_hist_osstat)</t>
  </si>
  <si>
    <t>SELECT
                 CAST(MIN(sn.begin_interval_time) over (partition BY sn.dbid,sn.snap_id) AS DATE) snap_time
                 , --workaround to uniform snap_time over all instances in RAC ss.dbid,  
      --uncomment if you have multipledbid in your AWR
                   sn.instance_number
     , num_cpus         "CPUs"
     , num_cores        "CORES"
     , num_socks        "SOCKETS"
     , load             "Begin Load"
     , load             "End Load"
     , 100 * busy_time/decode(busy_time + idle_time,0,null,busy_time+idle_time)  "Busy %"
     , 100 * user_time/decode(busy_time + idle_time,0,null,busy_time+idle_time)  "Usr %"
     , 100 * sys_time/decode(busy_time + idle_time,0,null,busy_time+idle_time)   "Sys %"
     , 100 * wio_time/decode(busy_time + idle_time,0,null,busy_time+idle_time)   "WIO %"
     , 100 * idle_time/decode(busy_time + idle_time,0,null,busy_time+idle_time)  "Idl %"
     , busy_time/100                            "Busy Time(s)"
     , idle_time/100                            "Idle Time(s)"
     , (busy_time + idle_time)/100              "Total Time(s)"
     , mem/1048576                            "Memory(MB)"
        FROM
                     dba_hist_snapshot sn
                   , (
                                 SELECT
                                        snap_id,
          instance_number,
          dbid,
          sum(num_cpus_v)  num_cpus,
          sum(num_cores_v)  num_cores,
          sum(num_socks_v)  num_socks,
          sum(load_v)   load,
          sum(busy_time_v)  busy_time,
          sum(idle_time_v)  idle_time,
          sum(user_time_v)  user_time,
          sum(sys_time_v)  sys_time,
          sum(wio_time_v)  wio_time,
          sum(mem_v)    mem
                                          FROM
                                                 dba_hist_osstat
                                   pivot (sum(value) as v for stat_name in ( 'NUM_CPUS'     num_cpus
                    ,'NUM_CPU_CORES'    num_cores
                    ,'NUM_CPU_SOCKETS'  num_socks
                    ,'LOAD'         load
                    ,'BUSY_TIME'    busy_time
                    ,'IDLE_TIME'    idle_time
                    ,'USER_TIME'    user_time
                    ,'SYS_TIME'     sys_time
                    ,'IOWAIT_TIME'   wio_time
                    ,'PHYSICAL_MEMORY_BYTES'  mem
                    )
                                   )
        GROUP BY snap_id,instance_number,dbid
                     )
                     ss
              WHERE
                     sn.snap_id         = ss.snap_id
                 AND sn.dbid            = ss.dbid
                 AND sn.instance_number = ss.instance_number
                 AND sn.begin_interval_time
                     &amp;delta_time_where_clause
              ORDER BY
                     snap_time,instance_number</t>
  </si>
  <si>
    <t>Perfsheet4_query_AWR_osstat.sql</t>
  </si>
  <si>
    <t>Perfsheet4_query_AWR_osstat</t>
  </si>
  <si>
    <t>CPUs</t>
  </si>
  <si>
    <t>CORES</t>
  </si>
  <si>
    <t>SOCKETS</t>
  </si>
  <si>
    <t>Begin Load</t>
  </si>
  <si>
    <t>End Load</t>
  </si>
  <si>
    <t>Busy %</t>
  </si>
  <si>
    <t>Usr %</t>
  </si>
  <si>
    <t>Sys %</t>
  </si>
  <si>
    <t>WIO %</t>
  </si>
  <si>
    <t>Idl %</t>
  </si>
  <si>
    <t>Busy Time(s)</t>
  </si>
  <si>
    <t>Idle Time(s)</t>
  </si>
  <si>
    <t>Total Time(s)</t>
  </si>
  <si>
    <t>Memory(MB)</t>
  </si>
  <si>
    <t>Average of Busy %</t>
  </si>
  <si>
    <t>Sum of Usr %</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</si>
</sst>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s>
  <fills count="2">
    <fill>
      <patternFill patternType="none"/>
    </fill>
    <fill>
      <patternFill patternType="gray125"/>
    </fill>
  </fills>
  <borders count="9">
    <border>
      <left/>
      <right/>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style="thin">
        <color indexed="8"/>
      </right>
      <top style="thin">
        <color indexed="8"/>
      </top>
      <bottom/>
      <diagonal/>
    </border>
    <border>
      <left style="thin">
        <color indexed="8"/>
      </left>
      <right/>
      <top/>
      <bottom/>
      <diagonal/>
    </border>
    <border>
      <left/>
      <right style="thin">
        <color indexed="8"/>
      </right>
      <top style="thin">
        <color indexed="8"/>
      </top>
      <bottom/>
      <diagonal/>
    </border>
    <border>
      <left/>
      <right style="thin">
        <color indexed="8"/>
      </right>
      <top/>
      <bottom/>
      <diagonal/>
    </border>
    <border>
      <left/>
      <right style="thin">
        <color indexed="8"/>
      </right>
      <top style="thin">
        <color indexed="8"/>
      </top>
      <bottom style="thin">
        <color indexed="8"/>
      </bottom>
      <diagonal/>
    </border>
  </borders>
  <cellStyleXfs count="2">
    <xf numFmtId="0" fontId="0" fillId="0" borderId="0"/>
    <xf numFmtId="0" fontId="6" fillId="0" borderId="0" applyNumberFormat="0" applyFill="0" applyBorder="0" applyAlignment="0" applyProtection="0"/>
  </cellStyleXfs>
  <cellXfs count="44">
    <xf numFmtId="0" fontId="0" fillId="0" borderId="0" xfId="0"/>
    <xf numFmtId="0" fontId="2" fillId="0" borderId="0" xfId="0" applyFont="1"/>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Alignment="1">
      <alignment wrapText="1"/>
    </xf>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0" fontId="1" fillId="0" borderId="0" xfId="0" applyFont="1" applyAlignment="1">
      <alignment vertical="top"/>
    </xf>
    <xf numFmtId="49" fontId="0" fillId="0" borderId="0" xfId="0" applyNumberFormat="1" applyAlignment="1">
      <alignment horizontal="left"/>
    </xf>
    <xf numFmtId="0" fontId="0" fillId="0" borderId="0" xfId="0" applyNumberFormat="1"/>
    <xf numFmtId="0" fontId="0" fillId="0" borderId="0" xfId="0"/>
    <xf numFmtId="0" fontId="7" fillId="0" borderId="0" xfId="0" applyFont="1"/>
    <xf numFmtId="0" fontId="0" fillId="0" borderId="1" xfId="0" applyBorder="1"/>
    <xf numFmtId="0" fontId="0" fillId="0" borderId="0" xfId="0"/>
    <xf numFmtId="0" fontId="2" fillId="0" borderId="0" xfId="0" applyFont="1"/>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xf>
    <xf numFmtId="0" fontId="0" fillId="0" borderId="0" xfId="0" applyAlignment="1">
      <alignment wrapText="1"/>
    </xf>
    <xf numFmtId="0" fontId="0" fillId="0" borderId="0" xfId="0" applyFont="1" applyAlignment="1">
      <alignment horizontal="left" vertical="top"/>
    </xf>
    <xf numFmtId="0" fontId="0" fillId="0" borderId="0" xfId="0" applyAlignment="1">
      <alignment vertical="top"/>
    </xf>
    <xf numFmtId="22" fontId="0" fillId="0" borderId="0" xfId="0" applyNumberFormat="1"/>
    <xf numFmtId="0" fontId="0" fillId="0" borderId="1" xfId="0" pivotButton="1" applyBorder="1"/>
    <xf numFmtId="0" fontId="0" fillId="0" borderId="3" xfId="0" pivotButton="1" applyBorder="1"/>
    <xf numFmtId="0" fontId="0" fillId="0" borderId="4" xfId="0" applyBorder="1"/>
    <xf numFmtId="22" fontId="0" fillId="0" borderId="1" xfId="0" applyNumberFormat="1" applyBorder="1"/>
    <xf numFmtId="0" fontId="0" fillId="0" borderId="1" xfId="0" applyNumberFormat="1" applyBorder="1"/>
    <xf numFmtId="22" fontId="0" fillId="0" borderId="5" xfId="0" applyNumberFormat="1" applyBorder="1"/>
    <xf numFmtId="0" fontId="0" fillId="0" borderId="5" xfId="0" applyNumberFormat="1" applyBorder="1"/>
    <xf numFmtId="22" fontId="0" fillId="0" borderId="2" xfId="0" applyNumberFormat="1" applyBorder="1"/>
    <xf numFmtId="0" fontId="0" fillId="0" borderId="2" xfId="0" applyNumberFormat="1" applyBorder="1"/>
    <xf numFmtId="0" fontId="0" fillId="0" borderId="3" xfId="0" applyBorder="1" applyAlignment="1">
      <alignment horizontal="left"/>
    </xf>
    <xf numFmtId="0" fontId="0" fillId="0" borderId="6" xfId="0" applyBorder="1"/>
    <xf numFmtId="0" fontId="0" fillId="0" borderId="6" xfId="0" applyNumberFormat="1" applyBorder="1"/>
    <xf numFmtId="0" fontId="0" fillId="0" borderId="7" xfId="0" applyNumberFormat="1" applyBorder="1"/>
    <xf numFmtId="0" fontId="0" fillId="0" borderId="8" xfId="0" applyNumberFormat="1" applyBorder="1"/>
    <xf numFmtId="0" fontId="2" fillId="0" borderId="0" xfId="0" applyFont="1" applyAlignment="1">
      <alignment horizontal="left" vertical="top" wrapText="1"/>
    </xf>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0" Type="http://schemas.openxmlformats.org/officeDocument/2006/relationships/styles" Target="styles.xml"/><Relationship Id="rId4" Type="http://schemas.openxmlformats.org/officeDocument/2006/relationships/chartsheet" Target="chartsheets/sheet1.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[PerfSheet4_v3.7.2.xlsm]Pivot!PivotTable19</c:name>
    <c:fmtId val="0"/>
  </c:pivotSource>
  <c:chart>
    <c:title>
      <c:tx>
        <c:rich>
          <a:bodyPr/>
          <a:lstStyle/>
          <a:p>
            <a:pPr>
              <a:defRPr/>
            </a:pPr>
            <a:r>
              <a:rPr lang="en-US"/>
              <a:t>Busy %</a:t>
            </a:r>
          </a:p>
        </c:rich>
      </c:tx>
      <c:layout/>
      <c:overlay val="0"/>
    </c:title>
    <c:autoTitleDeleted val="0"/>
    <c:pivotFmts>
      <c:pivotFmt>
        <c:idx val="0"/>
        <c:marker>
          <c:symbol val="none"/>
        </c:marker>
        <c:dLbl>
          <c:idx val="0"/>
          <c:delete val="1"/>
        </c:dLbl>
      </c:pivotFmt>
      <c:pivotFmt>
        <c:idx val="1"/>
        <c:marker>
          <c:symbol val="none"/>
        </c:marker>
        <c:dLbl>
          <c:idx val="0"/>
          <c:delete val="1"/>
        </c:dLbl>
      </c:pivotFmt>
      <c:pivotFmt>
        <c:idx val="2"/>
        <c:marker>
          <c:symbol val="none"/>
        </c:marker>
        <c:dLbl>
          <c:idx val="0"/>
          <c:delete val="1"/>
        </c:dLbl>
      </c:pivotFmt>
    </c:pivotFmts>
    <c:plotArea>
      <c:layout/>
      <c:lineChart>
        <c:grouping val="standard"/>
        <c:varyColors val="0"/>
        <c:ser>
          <c:idx val="0"/>
          <c:order val="0"/>
          <c:tx>
            <c:strRef>
              <c:f>Pivot!$B$3:$B$4</c:f>
              <c:strCache>
                <c:ptCount val="1"/>
                <c:pt idx="0">
                  <c:v>Average of Busy %</c:v>
                </c:pt>
              </c:strCache>
            </c:strRef>
          </c:tx>
          <c:marker>
            <c:symbol val="none"/>
          </c:marker>
          <c:cat>
            <c:strRef>
              <c:f>Pivot!$A$5:$A$100</c:f>
              <c:strCache>
                <c:ptCount val="95"/>
                <c:pt idx="0">
                  <c:v>5/3/2015 21:00</c:v>
                </c:pt>
                <c:pt idx="1">
                  <c:v>5/3/2015 21:15</c:v>
                </c:pt>
                <c:pt idx="2">
                  <c:v>5/3/2015 21:30</c:v>
                </c:pt>
                <c:pt idx="3">
                  <c:v>5/3/2015 21:45</c:v>
                </c:pt>
                <c:pt idx="4">
                  <c:v>5/3/2015 22:00</c:v>
                </c:pt>
                <c:pt idx="5">
                  <c:v>5/3/2015 22:15</c:v>
                </c:pt>
                <c:pt idx="6">
                  <c:v>5/3/2015 22:30</c:v>
                </c:pt>
                <c:pt idx="7">
                  <c:v>5/3/2015 22:45</c:v>
                </c:pt>
                <c:pt idx="8">
                  <c:v>5/3/2015 23:00</c:v>
                </c:pt>
                <c:pt idx="9">
                  <c:v>5/3/2015 23:15</c:v>
                </c:pt>
                <c:pt idx="10">
                  <c:v>5/3/2015 23:30</c:v>
                </c:pt>
                <c:pt idx="11">
                  <c:v>5/3/2015 23:45</c:v>
                </c:pt>
                <c:pt idx="12">
                  <c:v>5/4/2015 0:00</c:v>
                </c:pt>
                <c:pt idx="13">
                  <c:v>5/4/2015 0:15</c:v>
                </c:pt>
                <c:pt idx="14">
                  <c:v>5/4/2015 0:30</c:v>
                </c:pt>
                <c:pt idx="15">
                  <c:v>5/4/2015 0:45</c:v>
                </c:pt>
                <c:pt idx="16">
                  <c:v>5/4/2015 1:00</c:v>
                </c:pt>
                <c:pt idx="17">
                  <c:v>5/4/2015 1:15</c:v>
                </c:pt>
                <c:pt idx="18">
                  <c:v>5/4/2015 1:30</c:v>
                </c:pt>
                <c:pt idx="19">
                  <c:v>5/4/2015 1:45</c:v>
                </c:pt>
                <c:pt idx="20">
                  <c:v>5/4/2015 2:00</c:v>
                </c:pt>
                <c:pt idx="21">
                  <c:v>5/4/2015 2:15</c:v>
                </c:pt>
                <c:pt idx="22">
                  <c:v>5/4/2015 2:30</c:v>
                </c:pt>
                <c:pt idx="23">
                  <c:v>5/4/2015 2:45</c:v>
                </c:pt>
                <c:pt idx="24">
                  <c:v>5/4/2015 3:00</c:v>
                </c:pt>
                <c:pt idx="25">
                  <c:v>5/4/2015 3:15</c:v>
                </c:pt>
                <c:pt idx="26">
                  <c:v>5/4/2015 3:30</c:v>
                </c:pt>
                <c:pt idx="27">
                  <c:v>5/4/2015 3:45</c:v>
                </c:pt>
                <c:pt idx="28">
                  <c:v>5/4/2015 4:00</c:v>
                </c:pt>
                <c:pt idx="29">
                  <c:v>5/4/2015 4:15</c:v>
                </c:pt>
                <c:pt idx="30">
                  <c:v>5/4/2015 4:30</c:v>
                </c:pt>
                <c:pt idx="31">
                  <c:v>5/4/2015 4:45</c:v>
                </c:pt>
                <c:pt idx="32">
                  <c:v>5/4/2015 5:00</c:v>
                </c:pt>
                <c:pt idx="33">
                  <c:v>5/4/2015 5:15</c:v>
                </c:pt>
                <c:pt idx="34">
                  <c:v>5/4/2015 5:30</c:v>
                </c:pt>
                <c:pt idx="35">
                  <c:v>5/4/2015 5:45</c:v>
                </c:pt>
                <c:pt idx="36">
                  <c:v>5/4/2015 6:00</c:v>
                </c:pt>
                <c:pt idx="37">
                  <c:v>5/4/2015 6:15</c:v>
                </c:pt>
                <c:pt idx="38">
                  <c:v>5/4/2015 6:30</c:v>
                </c:pt>
                <c:pt idx="39">
                  <c:v>5/4/2015 6:45</c:v>
                </c:pt>
                <c:pt idx="40">
                  <c:v>5/4/2015 7:00</c:v>
                </c:pt>
                <c:pt idx="41">
                  <c:v>5/4/2015 7:15</c:v>
                </c:pt>
                <c:pt idx="42">
                  <c:v>5/4/2015 7:30</c:v>
                </c:pt>
                <c:pt idx="43">
                  <c:v>5/4/2015 7:45</c:v>
                </c:pt>
                <c:pt idx="44">
                  <c:v>5/4/2015 8:00</c:v>
                </c:pt>
                <c:pt idx="45">
                  <c:v>5/4/2015 8:15</c:v>
                </c:pt>
                <c:pt idx="46">
                  <c:v>5/4/2015 8:30</c:v>
                </c:pt>
                <c:pt idx="47">
                  <c:v>5/4/2015 8:45</c:v>
                </c:pt>
                <c:pt idx="48">
                  <c:v>5/4/2015 9:00</c:v>
                </c:pt>
                <c:pt idx="49">
                  <c:v>5/4/2015 9:15</c:v>
                </c:pt>
                <c:pt idx="50">
                  <c:v>5/4/2015 9:30</c:v>
                </c:pt>
                <c:pt idx="51">
                  <c:v>5/4/2015 9:45</c:v>
                </c:pt>
                <c:pt idx="52">
                  <c:v>5/4/2015 10:00</c:v>
                </c:pt>
                <c:pt idx="53">
                  <c:v>5/4/2015 10:15</c:v>
                </c:pt>
                <c:pt idx="54">
                  <c:v>5/4/2015 10:30</c:v>
                </c:pt>
                <c:pt idx="55">
                  <c:v>5/4/2015 10:45</c:v>
                </c:pt>
                <c:pt idx="56">
                  <c:v>5/4/2015 11:00</c:v>
                </c:pt>
                <c:pt idx="57">
                  <c:v>5/4/2015 11:15</c:v>
                </c:pt>
                <c:pt idx="58">
                  <c:v>5/4/2015 11:30</c:v>
                </c:pt>
                <c:pt idx="59">
                  <c:v>5/4/2015 11:45</c:v>
                </c:pt>
                <c:pt idx="60">
                  <c:v>5/4/2015 12:00</c:v>
                </c:pt>
                <c:pt idx="61">
                  <c:v>5/4/2015 12:26</c:v>
                </c:pt>
                <c:pt idx="62">
                  <c:v>5/4/2015 12:37</c:v>
                </c:pt>
                <c:pt idx="63">
                  <c:v>5/4/2015 12:45</c:v>
                </c:pt>
                <c:pt idx="64">
                  <c:v>5/4/2015 13:00</c:v>
                </c:pt>
                <c:pt idx="65">
                  <c:v>5/4/2015 13:15</c:v>
                </c:pt>
                <c:pt idx="66">
                  <c:v>5/4/2015 13:30</c:v>
                </c:pt>
                <c:pt idx="67">
                  <c:v>5/4/2015 13:45</c:v>
                </c:pt>
                <c:pt idx="68">
                  <c:v>5/4/2015 14:00</c:v>
                </c:pt>
                <c:pt idx="69">
                  <c:v>5/4/2015 14:15</c:v>
                </c:pt>
                <c:pt idx="70">
                  <c:v>5/4/2015 14:30</c:v>
                </c:pt>
                <c:pt idx="71">
                  <c:v>5/4/2015 14:45</c:v>
                </c:pt>
                <c:pt idx="72">
                  <c:v>5/4/2015 15:00</c:v>
                </c:pt>
                <c:pt idx="73">
                  <c:v>5/4/2015 15:15</c:v>
                </c:pt>
                <c:pt idx="74">
                  <c:v>5/4/2015 15:30</c:v>
                </c:pt>
                <c:pt idx="75">
                  <c:v>5/4/2015 15:45</c:v>
                </c:pt>
                <c:pt idx="76">
                  <c:v>5/4/2015 16:00</c:v>
                </c:pt>
                <c:pt idx="77">
                  <c:v>5/4/2015 16:15</c:v>
                </c:pt>
                <c:pt idx="78">
                  <c:v>5/4/2015 16:30</c:v>
                </c:pt>
                <c:pt idx="79">
                  <c:v>5/4/2015 16:45</c:v>
                </c:pt>
                <c:pt idx="80">
                  <c:v>5/4/2015 17:00</c:v>
                </c:pt>
                <c:pt idx="81">
                  <c:v>5/4/2015 17:15</c:v>
                </c:pt>
                <c:pt idx="82">
                  <c:v>5/4/2015 17:30</c:v>
                </c:pt>
                <c:pt idx="83">
                  <c:v>5/4/2015 17:45</c:v>
                </c:pt>
                <c:pt idx="84">
                  <c:v>5/4/2015 18:00</c:v>
                </c:pt>
                <c:pt idx="85">
                  <c:v>5/4/2015 18:15</c:v>
                </c:pt>
                <c:pt idx="86">
                  <c:v>5/4/2015 18:30</c:v>
                </c:pt>
                <c:pt idx="87">
                  <c:v>5/4/2015 18:45</c:v>
                </c:pt>
                <c:pt idx="88">
                  <c:v>5/4/2015 19:00</c:v>
                </c:pt>
                <c:pt idx="89">
                  <c:v>5/4/2015 19:15</c:v>
                </c:pt>
                <c:pt idx="90">
                  <c:v>5/4/2015 19:30</c:v>
                </c:pt>
                <c:pt idx="91">
                  <c:v>5/4/2015 19:45</c:v>
                </c:pt>
                <c:pt idx="92">
                  <c:v>5/4/2015 20:00</c:v>
                </c:pt>
                <c:pt idx="93">
                  <c:v>5/4/2015 20:15</c:v>
                </c:pt>
                <c:pt idx="94">
                  <c:v>5/4/2015 20:30</c:v>
                </c:pt>
              </c:strCache>
            </c:strRef>
          </c:cat>
          <c:val>
            <c:numRef>
              <c:f>Pivot!$B$5:$B$100</c:f>
              <c:numCache>
                <c:formatCode>General</c:formatCode>
                <c:ptCount val="95"/>
                <c:pt idx="0">
                  <c:v>6.3962173649497469</c:v>
                </c:pt>
                <c:pt idx="1">
                  <c:v>6.4649883559044703</c:v>
                </c:pt>
                <c:pt idx="2">
                  <c:v>6.5401491069802278</c:v>
                </c:pt>
                <c:pt idx="3">
                  <c:v>6.6126347164442176</c:v>
                </c:pt>
                <c:pt idx="4">
                  <c:v>6.6882316814206266</c:v>
                </c:pt>
                <c:pt idx="5">
                  <c:v>6.7642534300936621</c:v>
                </c:pt>
                <c:pt idx="6">
                  <c:v>6.829082514458233</c:v>
                </c:pt>
                <c:pt idx="7">
                  <c:v>6.9003879048561672</c:v>
                </c:pt>
                <c:pt idx="8">
                  <c:v>6.9693802957569684</c:v>
                </c:pt>
                <c:pt idx="9">
                  <c:v>7.0321099743519921</c:v>
                </c:pt>
                <c:pt idx="10">
                  <c:v>7.0960537813318805</c:v>
                </c:pt>
                <c:pt idx="11">
                  <c:v>7.1573496205942284</c:v>
                </c:pt>
                <c:pt idx="12">
                  <c:v>7.221838945803956</c:v>
                </c:pt>
                <c:pt idx="13">
                  <c:v>7.2871773567105995</c:v>
                </c:pt>
                <c:pt idx="14">
                  <c:v>7.3484175516455323</c:v>
                </c:pt>
                <c:pt idx="15">
                  <c:v>7.4062768211611534</c:v>
                </c:pt>
                <c:pt idx="16">
                  <c:v>7.4732899105474466</c:v>
                </c:pt>
                <c:pt idx="17">
                  <c:v>7.5413970092621261</c:v>
                </c:pt>
                <c:pt idx="18">
                  <c:v>7.5947912216398956</c:v>
                </c:pt>
                <c:pt idx="19">
                  <c:v>7.6641329286283018</c:v>
                </c:pt>
                <c:pt idx="20">
                  <c:v>7.7235916225717247</c:v>
                </c:pt>
                <c:pt idx="21">
                  <c:v>7.7916661796452873</c:v>
                </c:pt>
                <c:pt idx="22">
                  <c:v>7.8602023394304013</c:v>
                </c:pt>
                <c:pt idx="23">
                  <c:v>7.9184998970301983</c:v>
                </c:pt>
                <c:pt idx="24">
                  <c:v>7.979115622396753</c:v>
                </c:pt>
                <c:pt idx="25">
                  <c:v>8.0431237501362443</c:v>
                </c:pt>
                <c:pt idx="26">
                  <c:v>8.1101075938159362</c:v>
                </c:pt>
                <c:pt idx="27">
                  <c:v>8.1764788430609574</c:v>
                </c:pt>
                <c:pt idx="28">
                  <c:v>8.2378579331414805</c:v>
                </c:pt>
                <c:pt idx="29">
                  <c:v>8.2584447588824297</c:v>
                </c:pt>
                <c:pt idx="30">
                  <c:v>8.2846726158325286</c:v>
                </c:pt>
                <c:pt idx="31">
                  <c:v>8.284124728969422</c:v>
                </c:pt>
                <c:pt idx="32">
                  <c:v>8.2755283404337163</c:v>
                </c:pt>
                <c:pt idx="33">
                  <c:v>8.2639570972904099</c:v>
                </c:pt>
                <c:pt idx="34">
                  <c:v>8.2432645578674819</c:v>
                </c:pt>
                <c:pt idx="35">
                  <c:v>8.2231406907960043</c:v>
                </c:pt>
                <c:pt idx="36">
                  <c:v>8.2026777763074854</c:v>
                </c:pt>
                <c:pt idx="37">
                  <c:v>8.1821251845852423</c:v>
                </c:pt>
                <c:pt idx="38">
                  <c:v>8.1624094453722442</c:v>
                </c:pt>
                <c:pt idx="39">
                  <c:v>8.1430411088866936</c:v>
                </c:pt>
                <c:pt idx="40">
                  <c:v>8.1343938900701662</c:v>
                </c:pt>
                <c:pt idx="41">
                  <c:v>8.122587053893179</c:v>
                </c:pt>
                <c:pt idx="42">
                  <c:v>8.1117223193742714</c:v>
                </c:pt>
                <c:pt idx="43">
                  <c:v>8.1032190793728578</c:v>
                </c:pt>
                <c:pt idx="44">
                  <c:v>8.0932833907925552</c:v>
                </c:pt>
                <c:pt idx="45">
                  <c:v>8.0811661164802313</c:v>
                </c:pt>
                <c:pt idx="46">
                  <c:v>8.0694011769373937</c:v>
                </c:pt>
                <c:pt idx="47">
                  <c:v>8.0583124796991914</c:v>
                </c:pt>
                <c:pt idx="48">
                  <c:v>8.0466648795001667</c:v>
                </c:pt>
                <c:pt idx="49">
                  <c:v>8.0341217611065385</c:v>
                </c:pt>
                <c:pt idx="50">
                  <c:v>8.0213624949189857</c:v>
                </c:pt>
                <c:pt idx="51">
                  <c:v>8.009058747137388</c:v>
                </c:pt>
                <c:pt idx="52">
                  <c:v>7.9976748209055852</c:v>
                </c:pt>
                <c:pt idx="53">
                  <c:v>7.9855774857860817</c:v>
                </c:pt>
                <c:pt idx="54">
                  <c:v>7.9730985564044543</c:v>
                </c:pt>
                <c:pt idx="55">
                  <c:v>7.9610537262863437</c:v>
                </c:pt>
                <c:pt idx="56">
                  <c:v>7.9503202755480302</c:v>
                </c:pt>
                <c:pt idx="57">
                  <c:v>7.9389566786261918</c:v>
                </c:pt>
                <c:pt idx="58">
                  <c:v>7.9278024986137119</c:v>
                </c:pt>
                <c:pt idx="59">
                  <c:v>7.9209171258980202</c:v>
                </c:pt>
                <c:pt idx="60">
                  <c:v>7.9178836336096907</c:v>
                </c:pt>
                <c:pt idx="61">
                  <c:v>5.7131595847123551</c:v>
                </c:pt>
                <c:pt idx="62">
                  <c:v>5.2020140194325339</c:v>
                </c:pt>
                <c:pt idx="63">
                  <c:v>4.8392701881480589</c:v>
                </c:pt>
                <c:pt idx="64">
                  <c:v>5.5370798226100595</c:v>
                </c:pt>
                <c:pt idx="65">
                  <c:v>5.7760646774208384</c:v>
                </c:pt>
                <c:pt idx="66">
                  <c:v>5.5938808921706498</c:v>
                </c:pt>
                <c:pt idx="67">
                  <c:v>5.568596632306976</c:v>
                </c:pt>
                <c:pt idx="68">
                  <c:v>5.4756231254073526</c:v>
                </c:pt>
                <c:pt idx="69">
                  <c:v>5.3807829751110932</c:v>
                </c:pt>
                <c:pt idx="70">
                  <c:v>5.3269285360492793</c:v>
                </c:pt>
                <c:pt idx="71">
                  <c:v>5.2492456783652797</c:v>
                </c:pt>
                <c:pt idx="72">
                  <c:v>5.2239170405552589</c:v>
                </c:pt>
                <c:pt idx="73">
                  <c:v>5.1764569555388409</c:v>
                </c:pt>
                <c:pt idx="74">
                  <c:v>5.3008594955732882</c:v>
                </c:pt>
                <c:pt idx="75">
                  <c:v>5.3392656891112091</c:v>
                </c:pt>
                <c:pt idx="76">
                  <c:v>5.3446241548202496</c:v>
                </c:pt>
                <c:pt idx="77">
                  <c:v>5.3569361539998681</c:v>
                </c:pt>
                <c:pt idx="78">
                  <c:v>5.258841289532926</c:v>
                </c:pt>
                <c:pt idx="79">
                  <c:v>5.1261742422609826</c:v>
                </c:pt>
                <c:pt idx="80">
                  <c:v>4.9982143718232583</c:v>
                </c:pt>
                <c:pt idx="81">
                  <c:v>4.9018170054580121</c:v>
                </c:pt>
                <c:pt idx="82">
                  <c:v>4.7967783586418404</c:v>
                </c:pt>
                <c:pt idx="83">
                  <c:v>4.7026635877949046</c:v>
                </c:pt>
                <c:pt idx="84">
                  <c:v>4.6145320398150576</c:v>
                </c:pt>
                <c:pt idx="85">
                  <c:v>4.5490097229253603</c:v>
                </c:pt>
                <c:pt idx="86">
                  <c:v>4.4747476142468479</c:v>
                </c:pt>
                <c:pt idx="87">
                  <c:v>4.4047267241651786</c:v>
                </c:pt>
                <c:pt idx="88">
                  <c:v>4.3426783054618125</c:v>
                </c:pt>
                <c:pt idx="89">
                  <c:v>4.303605796835261</c:v>
                </c:pt>
                <c:pt idx="90">
                  <c:v>4.2456719469493711</c:v>
                </c:pt>
                <c:pt idx="91">
                  <c:v>4.2105052981369724</c:v>
                </c:pt>
                <c:pt idx="92">
                  <c:v>4.1659523414111499</c:v>
                </c:pt>
                <c:pt idx="93">
                  <c:v>4.1335842779348928</c:v>
                </c:pt>
                <c:pt idx="94">
                  <c:v>4.074804867727587</c:v>
                </c:pt>
              </c:numCache>
            </c:numRef>
          </c:val>
          <c:smooth val="0"/>
        </c:ser>
        <c:ser>
          <c:idx val="1"/>
          <c:order val="1"/>
          <c:tx>
            <c:strRef>
              <c:f>Pivot!$C$3:$C$4</c:f>
              <c:strCache>
                <c:ptCount val="1"/>
                <c:pt idx="0">
                  <c:v>Sum of Usr %</c:v>
                </c:pt>
              </c:strCache>
            </c:strRef>
          </c:tx>
          <c:marker>
            <c:symbol val="none"/>
          </c:marker>
          <c:cat>
            <c:strRef>
              <c:f>Pivot!$A$5:$A$100</c:f>
              <c:strCache>
                <c:ptCount val="95"/>
                <c:pt idx="0">
                  <c:v>5/3/2015 21:00</c:v>
                </c:pt>
                <c:pt idx="1">
                  <c:v>5/3/2015 21:15</c:v>
                </c:pt>
                <c:pt idx="2">
                  <c:v>5/3/2015 21:30</c:v>
                </c:pt>
                <c:pt idx="3">
                  <c:v>5/3/2015 21:45</c:v>
                </c:pt>
                <c:pt idx="4">
                  <c:v>5/3/2015 22:00</c:v>
                </c:pt>
                <c:pt idx="5">
                  <c:v>5/3/2015 22:15</c:v>
                </c:pt>
                <c:pt idx="6">
                  <c:v>5/3/2015 22:30</c:v>
                </c:pt>
                <c:pt idx="7">
                  <c:v>5/3/2015 22:45</c:v>
                </c:pt>
                <c:pt idx="8">
                  <c:v>5/3/2015 23:00</c:v>
                </c:pt>
                <c:pt idx="9">
                  <c:v>5/3/2015 23:15</c:v>
                </c:pt>
                <c:pt idx="10">
                  <c:v>5/3/2015 23:30</c:v>
                </c:pt>
                <c:pt idx="11">
                  <c:v>5/3/2015 23:45</c:v>
                </c:pt>
                <c:pt idx="12">
                  <c:v>5/4/2015 0:00</c:v>
                </c:pt>
                <c:pt idx="13">
                  <c:v>5/4/2015 0:15</c:v>
                </c:pt>
                <c:pt idx="14">
                  <c:v>5/4/2015 0:30</c:v>
                </c:pt>
                <c:pt idx="15">
                  <c:v>5/4/2015 0:45</c:v>
                </c:pt>
                <c:pt idx="16">
                  <c:v>5/4/2015 1:00</c:v>
                </c:pt>
                <c:pt idx="17">
                  <c:v>5/4/2015 1:15</c:v>
                </c:pt>
                <c:pt idx="18">
                  <c:v>5/4/2015 1:30</c:v>
                </c:pt>
                <c:pt idx="19">
                  <c:v>5/4/2015 1:45</c:v>
                </c:pt>
                <c:pt idx="20">
                  <c:v>5/4/2015 2:00</c:v>
                </c:pt>
                <c:pt idx="21">
                  <c:v>5/4/2015 2:15</c:v>
                </c:pt>
                <c:pt idx="22">
                  <c:v>5/4/2015 2:30</c:v>
                </c:pt>
                <c:pt idx="23">
                  <c:v>5/4/2015 2:45</c:v>
                </c:pt>
                <c:pt idx="24">
                  <c:v>5/4/2015 3:00</c:v>
                </c:pt>
                <c:pt idx="25">
                  <c:v>5/4/2015 3:15</c:v>
                </c:pt>
                <c:pt idx="26">
                  <c:v>5/4/2015 3:30</c:v>
                </c:pt>
                <c:pt idx="27">
                  <c:v>5/4/2015 3:45</c:v>
                </c:pt>
                <c:pt idx="28">
                  <c:v>5/4/2015 4:00</c:v>
                </c:pt>
                <c:pt idx="29">
                  <c:v>5/4/2015 4:15</c:v>
                </c:pt>
                <c:pt idx="30">
                  <c:v>5/4/2015 4:30</c:v>
                </c:pt>
                <c:pt idx="31">
                  <c:v>5/4/2015 4:45</c:v>
                </c:pt>
                <c:pt idx="32">
                  <c:v>5/4/2015 5:00</c:v>
                </c:pt>
                <c:pt idx="33">
                  <c:v>5/4/2015 5:15</c:v>
                </c:pt>
                <c:pt idx="34">
                  <c:v>5/4/2015 5:30</c:v>
                </c:pt>
                <c:pt idx="35">
                  <c:v>5/4/2015 5:45</c:v>
                </c:pt>
                <c:pt idx="36">
                  <c:v>5/4/2015 6:00</c:v>
                </c:pt>
                <c:pt idx="37">
                  <c:v>5/4/2015 6:15</c:v>
                </c:pt>
                <c:pt idx="38">
                  <c:v>5/4/2015 6:30</c:v>
                </c:pt>
                <c:pt idx="39">
                  <c:v>5/4/2015 6:45</c:v>
                </c:pt>
                <c:pt idx="40">
                  <c:v>5/4/2015 7:00</c:v>
                </c:pt>
                <c:pt idx="41">
                  <c:v>5/4/2015 7:15</c:v>
                </c:pt>
                <c:pt idx="42">
                  <c:v>5/4/2015 7:30</c:v>
                </c:pt>
                <c:pt idx="43">
                  <c:v>5/4/2015 7:45</c:v>
                </c:pt>
                <c:pt idx="44">
                  <c:v>5/4/2015 8:00</c:v>
                </c:pt>
                <c:pt idx="45">
                  <c:v>5/4/2015 8:15</c:v>
                </c:pt>
                <c:pt idx="46">
                  <c:v>5/4/2015 8:30</c:v>
                </c:pt>
                <c:pt idx="47">
                  <c:v>5/4/2015 8:45</c:v>
                </c:pt>
                <c:pt idx="48">
                  <c:v>5/4/2015 9:00</c:v>
                </c:pt>
                <c:pt idx="49">
                  <c:v>5/4/2015 9:15</c:v>
                </c:pt>
                <c:pt idx="50">
                  <c:v>5/4/2015 9:30</c:v>
                </c:pt>
                <c:pt idx="51">
                  <c:v>5/4/2015 9:45</c:v>
                </c:pt>
                <c:pt idx="52">
                  <c:v>5/4/2015 10:00</c:v>
                </c:pt>
                <c:pt idx="53">
                  <c:v>5/4/2015 10:15</c:v>
                </c:pt>
                <c:pt idx="54">
                  <c:v>5/4/2015 10:30</c:v>
                </c:pt>
                <c:pt idx="55">
                  <c:v>5/4/2015 10:45</c:v>
                </c:pt>
                <c:pt idx="56">
                  <c:v>5/4/2015 11:00</c:v>
                </c:pt>
                <c:pt idx="57">
                  <c:v>5/4/2015 11:15</c:v>
                </c:pt>
                <c:pt idx="58">
                  <c:v>5/4/2015 11:30</c:v>
                </c:pt>
                <c:pt idx="59">
                  <c:v>5/4/2015 11:45</c:v>
                </c:pt>
                <c:pt idx="60">
                  <c:v>5/4/2015 12:00</c:v>
                </c:pt>
                <c:pt idx="61">
                  <c:v>5/4/2015 12:26</c:v>
                </c:pt>
                <c:pt idx="62">
                  <c:v>5/4/2015 12:37</c:v>
                </c:pt>
                <c:pt idx="63">
                  <c:v>5/4/2015 12:45</c:v>
                </c:pt>
                <c:pt idx="64">
                  <c:v>5/4/2015 13:00</c:v>
                </c:pt>
                <c:pt idx="65">
                  <c:v>5/4/2015 13:15</c:v>
                </c:pt>
                <c:pt idx="66">
                  <c:v>5/4/2015 13:30</c:v>
                </c:pt>
                <c:pt idx="67">
                  <c:v>5/4/2015 13:45</c:v>
                </c:pt>
                <c:pt idx="68">
                  <c:v>5/4/2015 14:00</c:v>
                </c:pt>
                <c:pt idx="69">
                  <c:v>5/4/2015 14:15</c:v>
                </c:pt>
                <c:pt idx="70">
                  <c:v>5/4/2015 14:30</c:v>
                </c:pt>
                <c:pt idx="71">
                  <c:v>5/4/2015 14:45</c:v>
                </c:pt>
                <c:pt idx="72">
                  <c:v>5/4/2015 15:00</c:v>
                </c:pt>
                <c:pt idx="73">
                  <c:v>5/4/2015 15:15</c:v>
                </c:pt>
                <c:pt idx="74">
                  <c:v>5/4/2015 15:30</c:v>
                </c:pt>
                <c:pt idx="75">
                  <c:v>5/4/2015 15:45</c:v>
                </c:pt>
                <c:pt idx="76">
                  <c:v>5/4/2015 16:00</c:v>
                </c:pt>
                <c:pt idx="77">
                  <c:v>5/4/2015 16:15</c:v>
                </c:pt>
                <c:pt idx="78">
                  <c:v>5/4/2015 16:30</c:v>
                </c:pt>
                <c:pt idx="79">
                  <c:v>5/4/2015 16:45</c:v>
                </c:pt>
                <c:pt idx="80">
                  <c:v>5/4/2015 17:00</c:v>
                </c:pt>
                <c:pt idx="81">
                  <c:v>5/4/2015 17:15</c:v>
                </c:pt>
                <c:pt idx="82">
                  <c:v>5/4/2015 17:30</c:v>
                </c:pt>
                <c:pt idx="83">
                  <c:v>5/4/2015 17:45</c:v>
                </c:pt>
                <c:pt idx="84">
                  <c:v>5/4/2015 18:00</c:v>
                </c:pt>
                <c:pt idx="85">
                  <c:v>5/4/2015 18:15</c:v>
                </c:pt>
                <c:pt idx="86">
                  <c:v>5/4/2015 18:30</c:v>
                </c:pt>
                <c:pt idx="87">
                  <c:v>5/4/2015 18:45</c:v>
                </c:pt>
                <c:pt idx="88">
                  <c:v>5/4/2015 19:00</c:v>
                </c:pt>
                <c:pt idx="89">
                  <c:v>5/4/2015 19:15</c:v>
                </c:pt>
                <c:pt idx="90">
                  <c:v>5/4/2015 19:30</c:v>
                </c:pt>
                <c:pt idx="91">
                  <c:v>5/4/2015 19:45</c:v>
                </c:pt>
                <c:pt idx="92">
                  <c:v>5/4/2015 20:00</c:v>
                </c:pt>
                <c:pt idx="93">
                  <c:v>5/4/2015 20:15</c:v>
                </c:pt>
                <c:pt idx="94">
                  <c:v>5/4/2015 20:30</c:v>
                </c:pt>
              </c:strCache>
            </c:strRef>
          </c:cat>
          <c:val>
            <c:numRef>
              <c:f>Pivot!$C$5:$C$100</c:f>
              <c:numCache>
                <c:formatCode>General</c:formatCode>
                <c:ptCount val="95"/>
                <c:pt idx="0">
                  <c:v>4.8077871723870738</c:v>
                </c:pt>
                <c:pt idx="1">
                  <c:v>4.8706370743826559</c:v>
                </c:pt>
                <c:pt idx="2">
                  <c:v>4.9393254423432191</c:v>
                </c:pt>
                <c:pt idx="3">
                  <c:v>5.0055978929191705</c:v>
                </c:pt>
                <c:pt idx="4">
                  <c:v>5.0749059702847701</c:v>
                </c:pt>
                <c:pt idx="5">
                  <c:v>5.1446495412162943</c:v>
                </c:pt>
                <c:pt idx="6">
                  <c:v>5.2040589491008991</c:v>
                </c:pt>
                <c:pt idx="7">
                  <c:v>5.2690686968644247</c:v>
                </c:pt>
                <c:pt idx="8">
                  <c:v>5.3321983719627655</c:v>
                </c:pt>
                <c:pt idx="9">
                  <c:v>5.3894369666974136</c:v>
                </c:pt>
                <c:pt idx="10">
                  <c:v>5.4480558064827802</c:v>
                </c:pt>
                <c:pt idx="11">
                  <c:v>5.5039636749662986</c:v>
                </c:pt>
                <c:pt idx="12">
                  <c:v>5.5625314421552492</c:v>
                </c:pt>
                <c:pt idx="13">
                  <c:v>5.6219908573886048</c:v>
                </c:pt>
                <c:pt idx="14">
                  <c:v>5.6777474636491245</c:v>
                </c:pt>
                <c:pt idx="15">
                  <c:v>5.7303095838127787</c:v>
                </c:pt>
                <c:pt idx="16">
                  <c:v>5.7913206293843809</c:v>
                </c:pt>
                <c:pt idx="17">
                  <c:v>5.8535526235246946</c:v>
                </c:pt>
                <c:pt idx="18">
                  <c:v>5.9017137414078285</c:v>
                </c:pt>
                <c:pt idx="19">
                  <c:v>5.964940099210275</c:v>
                </c:pt>
                <c:pt idx="20">
                  <c:v>6.0191152432895958</c:v>
                </c:pt>
                <c:pt idx="21">
                  <c:v>6.0799414073011695</c:v>
                </c:pt>
                <c:pt idx="22">
                  <c:v>6.1420256845774892</c:v>
                </c:pt>
                <c:pt idx="23">
                  <c:v>6.1946319953430891</c:v>
                </c:pt>
                <c:pt idx="24">
                  <c:v>6.2493503466490941</c:v>
                </c:pt>
                <c:pt idx="25">
                  <c:v>6.3080478787982406</c:v>
                </c:pt>
                <c:pt idx="26">
                  <c:v>6.3692116211516225</c:v>
                </c:pt>
                <c:pt idx="27">
                  <c:v>6.4297984545459661</c:v>
                </c:pt>
                <c:pt idx="28">
                  <c:v>6.4858910324828951</c:v>
                </c:pt>
                <c:pt idx="29">
                  <c:v>6.50326302510455</c:v>
                </c:pt>
                <c:pt idx="30">
                  <c:v>6.5267398847911489</c:v>
                </c:pt>
                <c:pt idx="31">
                  <c:v>6.527274003690553</c:v>
                </c:pt>
                <c:pt idx="32">
                  <c:v>6.5196322338809312</c:v>
                </c:pt>
                <c:pt idx="33">
                  <c:v>6.5092294650746876</c:v>
                </c:pt>
                <c:pt idx="34">
                  <c:v>6.491198728432976</c:v>
                </c:pt>
                <c:pt idx="35">
                  <c:v>6.4736902963824603</c:v>
                </c:pt>
                <c:pt idx="36">
                  <c:v>6.4558070413600728</c:v>
                </c:pt>
                <c:pt idx="37">
                  <c:v>6.4377452132236792</c:v>
                </c:pt>
                <c:pt idx="38">
                  <c:v>6.4205007355985462</c:v>
                </c:pt>
                <c:pt idx="39">
                  <c:v>6.4036530746593856</c:v>
                </c:pt>
                <c:pt idx="40">
                  <c:v>6.3920071314121554</c:v>
                </c:pt>
                <c:pt idx="41">
                  <c:v>6.3764424867423175</c:v>
                </c:pt>
                <c:pt idx="42">
                  <c:v>6.3616490592094612</c:v>
                </c:pt>
                <c:pt idx="43">
                  <c:v>6.349094365957086</c:v>
                </c:pt>
                <c:pt idx="44">
                  <c:v>6.3351386911921894</c:v>
                </c:pt>
                <c:pt idx="45">
                  <c:v>6.3195070881712017</c:v>
                </c:pt>
                <c:pt idx="46">
                  <c:v>6.3040904465686394</c:v>
                </c:pt>
                <c:pt idx="47">
                  <c:v>6.2895812936773403</c:v>
                </c:pt>
                <c:pt idx="48">
                  <c:v>6.2745548938606159</c:v>
                </c:pt>
                <c:pt idx="49">
                  <c:v>6.2588229388750065</c:v>
                </c:pt>
                <c:pt idx="50">
                  <c:v>6.2429327726697279</c:v>
                </c:pt>
                <c:pt idx="51">
                  <c:v>6.2274980789065495</c:v>
                </c:pt>
                <c:pt idx="52">
                  <c:v>6.2130418031495926</c:v>
                </c:pt>
                <c:pt idx="53">
                  <c:v>6.1978641651810049</c:v>
                </c:pt>
                <c:pt idx="54">
                  <c:v>6.1823226346448523</c:v>
                </c:pt>
                <c:pt idx="55">
                  <c:v>6.167244244179992</c:v>
                </c:pt>
                <c:pt idx="56">
                  <c:v>6.1537115559281288</c:v>
                </c:pt>
                <c:pt idx="57">
                  <c:v>6.1392566210825992</c:v>
                </c:pt>
                <c:pt idx="58">
                  <c:v>6.1250375098738195</c:v>
                </c:pt>
                <c:pt idx="59">
                  <c:v>6.1152065034514003</c:v>
                </c:pt>
                <c:pt idx="60">
                  <c:v>6.1095189957552876</c:v>
                </c:pt>
                <c:pt idx="61">
                  <c:v>3.1093977368135004</c:v>
                </c:pt>
                <c:pt idx="62">
                  <c:v>2.6101648618338174</c:v>
                </c:pt>
                <c:pt idx="63">
                  <c:v>2.2635317721312322</c:v>
                </c:pt>
                <c:pt idx="64">
                  <c:v>2.9158041954037799</c:v>
                </c:pt>
                <c:pt idx="65">
                  <c:v>3.127979150272445</c:v>
                </c:pt>
                <c:pt idx="66">
                  <c:v>2.9426320126832879</c:v>
                </c:pt>
                <c:pt idx="67">
                  <c:v>2.9053673861314144</c:v>
                </c:pt>
                <c:pt idx="68">
                  <c:v>2.8227565233225538</c:v>
                </c:pt>
                <c:pt idx="69">
                  <c:v>2.7347777422616351</c:v>
                </c:pt>
                <c:pt idx="70">
                  <c:v>2.6790228260383806</c:v>
                </c:pt>
                <c:pt idx="71">
                  <c:v>2.6067592816497704</c:v>
                </c:pt>
                <c:pt idx="72">
                  <c:v>2.5855976876287108</c:v>
                </c:pt>
                <c:pt idx="73">
                  <c:v>2.5415947503687066</c:v>
                </c:pt>
                <c:pt idx="74">
                  <c:v>2.6339378770156037</c:v>
                </c:pt>
                <c:pt idx="75">
                  <c:v>2.6591797034639466</c:v>
                </c:pt>
                <c:pt idx="76">
                  <c:v>2.654853649775605</c:v>
                </c:pt>
                <c:pt idx="77">
                  <c:v>2.6607432377144806</c:v>
                </c:pt>
                <c:pt idx="78">
                  <c:v>2.6155600295043699</c:v>
                </c:pt>
                <c:pt idx="79">
                  <c:v>2.5689624607939829</c:v>
                </c:pt>
                <c:pt idx="80">
                  <c:v>2.5188101274787451</c:v>
                </c:pt>
                <c:pt idx="81">
                  <c:v>2.492290188294596</c:v>
                </c:pt>
                <c:pt idx="82">
                  <c:v>2.450435036629151</c:v>
                </c:pt>
                <c:pt idx="83">
                  <c:v>2.4147570956951867</c:v>
                </c:pt>
                <c:pt idx="84">
                  <c:v>2.379354755046049</c:v>
                </c:pt>
                <c:pt idx="85">
                  <c:v>2.3625082068418863</c:v>
                </c:pt>
                <c:pt idx="86">
                  <c:v>2.3321097285328252</c:v>
                </c:pt>
                <c:pt idx="87">
                  <c:v>2.3027522686348387</c:v>
                </c:pt>
                <c:pt idx="88">
                  <c:v>2.2798832048391491</c:v>
                </c:pt>
                <c:pt idx="89">
                  <c:v>2.2759354511384164</c:v>
                </c:pt>
                <c:pt idx="90">
                  <c:v>2.2502046590860871</c:v>
                </c:pt>
                <c:pt idx="91">
                  <c:v>2.2439693581359306</c:v>
                </c:pt>
                <c:pt idx="92">
                  <c:v>2.2320702075819256</c:v>
                </c:pt>
                <c:pt idx="93">
                  <c:v>2.2318514011511583</c:v>
                </c:pt>
                <c:pt idx="94">
                  <c:v>2.20383242538326</c:v>
                </c:pt>
              </c:numCache>
            </c:numRef>
          </c:val>
          <c:smooth val="0"/>
        </c:ser>
        <c:dLbls>
          <c:showLegendKey val="0"/>
          <c:showVal val="0"/>
          <c:showCatName val="0"/>
          <c:showSerName val="0"/>
          <c:showPercent val="0"/>
          <c:showBubbleSize val="0"/>
        </c:dLbls>
        <c:marker val="1"/>
        <c:smooth val="0"/>
        <c:axId val="99607296"/>
        <c:axId val="99608832"/>
      </c:lineChart>
      <c:catAx>
        <c:axId val="99607296"/>
        <c:scaling>
          <c:orientation val="minMax"/>
        </c:scaling>
        <c:delete val="0"/>
        <c:axPos val="b"/>
        <c:title>
          <c:tx>
            <c:rich>
              <a:bodyPr/>
              <a:lstStyle/>
              <a:p>
                <a:pPr>
                  <a:defRPr/>
                </a:pPr>
                <a:r>
                  <a:rPr lang="en-US"/>
                  <a:t>Date and Time</a:t>
                </a:r>
              </a:p>
            </c:rich>
          </c:tx>
          <c:layout/>
          <c:overlay val="0"/>
        </c:title>
        <c:majorTickMark val="none"/>
        <c:minorTickMark val="none"/>
        <c:tickLblPos val="nextTo"/>
        <c:crossAx val="99608832"/>
        <c:crosses val="autoZero"/>
        <c:auto val="1"/>
        <c:lblAlgn val="ctr"/>
        <c:lblOffset val="100"/>
        <c:noMultiLvlLbl val="0"/>
      </c:catAx>
      <c:valAx>
        <c:axId val="99608832"/>
        <c:scaling>
          <c:orientation val="minMax"/>
          <c:min val="0"/>
        </c:scaling>
        <c:delete val="0"/>
        <c:axPos val="l"/>
        <c:majorGridlines/>
        <c:title>
          <c:tx>
            <c:rich>
              <a:bodyPr/>
              <a:lstStyle/>
              <a:p>
                <a:pPr>
                  <a:defRPr/>
                </a:pPr>
                <a:r>
                  <a:rPr lang="en-US"/>
                  <a:t>Busy %</a:t>
                </a:r>
              </a:p>
            </c:rich>
          </c:tx>
          <c:layout/>
          <c:overlay val="0"/>
        </c:title>
        <c:numFmt formatCode="General" sourceLinked="1"/>
        <c:majorTickMark val="none"/>
        <c:minorTickMark val="none"/>
        <c:tickLblPos val="nextTo"/>
        <c:crossAx val="99607296"/>
        <c:crosses val="autoZero"/>
        <c:crossBetween val="between"/>
      </c:valAx>
    </c:plotArea>
    <c:legend>
      <c:legendPos val="r"/>
      <c:layout/>
      <c:overlay val="0"/>
    </c:legend>
    <c:plotVisOnly val="1"/>
    <c:dispBlanksAs val="gap"/>
    <c:showDLblsOverMax val="0"/>
  </c:chart>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Chart15"/>
  <sheetViews>
    <sheetView zoomScale="111"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checked="Checked" fmlaLink="$C$20" noThreeD="1"/>
</file>

<file path=xl/ctrlProps/ctrlProp2.xml><?xml version="1.0" encoding="utf-8"?>
<formControlPr xmlns="http://schemas.microsoft.com/office/spreadsheetml/2009/9/main" objectType="CheckBox" checked="Checked" fmlaLink="C10" noThreeD="1"/>
</file>

<file path=xl/ctrlProps/ctrlProp3.xml><?xml version="1.0" encoding="utf-8"?>
<formControlPr xmlns="http://schemas.microsoft.com/office/spreadsheetml/2009/9/main" objectType="CheckBox" fmlaLink="$F$9" noThreeD="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18</xdr:row>
          <xdr:rowOff>190500</xdr:rowOff>
        </xdr:from>
        <xdr:to>
          <xdr:col>3</xdr:col>
          <xdr:colOff>57150</xdr:colOff>
          <xdr:row>20</xdr:row>
          <xdr:rowOff>57150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fLocksWithSheet="0"/>
      </xdr:twoCellAnchor>
    </mc:Choice>
    <mc:Fallback/>
  </mc:AlternateContent>
  <xdr:twoCellAnchor>
    <xdr:from>
      <xdr:col>1</xdr:col>
      <xdr:colOff>527685</xdr:colOff>
      <xdr:row>10</xdr:row>
      <xdr:rowOff>177709</xdr:rowOff>
    </xdr:from>
    <xdr:to>
      <xdr:col>2</xdr:col>
      <xdr:colOff>510540</xdr:colOff>
      <xdr:row>12</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10</xdr:row>
      <xdr:rowOff>167094</xdr:rowOff>
    </xdr:from>
    <xdr:to>
      <xdr:col>5</xdr:col>
      <xdr:colOff>1169126</xdr:colOff>
      <xdr:row>12</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447675</xdr:colOff>
          <xdr:row>9</xdr:row>
          <xdr:rowOff>0</xdr:rowOff>
        </xdr:from>
        <xdr:to>
          <xdr:col>3</xdr:col>
          <xdr:colOff>47625</xdr:colOff>
          <xdr:row>10</xdr:row>
          <xdr:rowOff>57150</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84909</xdr:colOff>
      <xdr:row>12</xdr:row>
      <xdr:rowOff>180160</xdr:rowOff>
    </xdr:from>
    <xdr:to>
      <xdr:col>5</xdr:col>
      <xdr:colOff>1228998</xdr:colOff>
      <xdr:row>17</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10</xdr:row>
      <xdr:rowOff>159201</xdr:rowOff>
    </xdr:from>
    <xdr:to>
      <xdr:col>5</xdr:col>
      <xdr:colOff>2487385</xdr:colOff>
      <xdr:row>12</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12</xdr:row>
      <xdr:rowOff>168596</xdr:rowOff>
    </xdr:from>
    <xdr:to>
      <xdr:col>3</xdr:col>
      <xdr:colOff>219243</xdr:colOff>
      <xdr:row>17</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733425</xdr:colOff>
          <xdr:row>3</xdr:row>
          <xdr:rowOff>38100</xdr:rowOff>
        </xdr:from>
        <xdr:to>
          <xdr:col>7</xdr:col>
          <xdr:colOff>247650</xdr:colOff>
          <xdr:row>4</xdr:row>
          <xdr:rowOff>47625</xdr:rowOff>
        </xdr:to>
        <xdr:sp macro="" textlink="">
          <xdr:nvSpPr>
            <xdr:cNvPr id="1032" name="PassBox"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twoCellAnchor editAs="oneCell">
    <xdr:from>
      <xdr:col>5</xdr:col>
      <xdr:colOff>1546315</xdr:colOff>
      <xdr:row>12</xdr:row>
      <xdr:rowOff>169546</xdr:rowOff>
    </xdr:from>
    <xdr:to>
      <xdr:col>5</xdr:col>
      <xdr:colOff>2708364</xdr:colOff>
      <xdr:row>17</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20</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10</xdr:row>
      <xdr:rowOff>113349</xdr:rowOff>
    </xdr:from>
    <xdr:to>
      <xdr:col>6</xdr:col>
      <xdr:colOff>185226</xdr:colOff>
      <xdr:row>10</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742951</xdr:colOff>
          <xdr:row>5</xdr:row>
          <xdr:rowOff>19050</xdr:rowOff>
        </xdr:from>
        <xdr:to>
          <xdr:col>5</xdr:col>
          <xdr:colOff>3171826</xdr:colOff>
          <xdr:row>6</xdr:row>
          <xdr:rowOff>44450</xdr:rowOff>
        </xdr:to>
        <xdr:sp macro="" textlink="">
          <xdr:nvSpPr>
            <xdr:cNvPr id="1033" name="Query_selection_ComboBox"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twoCellAnchor>
    <xdr:from>
      <xdr:col>1</xdr:col>
      <xdr:colOff>276225</xdr:colOff>
      <xdr:row>3</xdr:row>
      <xdr:rowOff>95250</xdr:rowOff>
    </xdr:from>
    <xdr:to>
      <xdr:col>3</xdr:col>
      <xdr:colOff>190500</xdr:colOff>
      <xdr:row>9</xdr:row>
      <xdr:rowOff>57150</xdr:rowOff>
    </xdr:to>
    <xdr:grpSp>
      <xdr:nvGrpSpPr>
        <xdr:cNvPr id="3" name="Group 2"/>
        <xdr:cNvGrpSpPr/>
      </xdr:nvGrpSpPr>
      <xdr:grpSpPr>
        <a:xfrm>
          <a:off x="762000" y="781050"/>
          <a:ext cx="1171575" cy="133350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409575</xdr:colOff>
          <xdr:row>8</xdr:row>
          <xdr:rowOff>28575</xdr:rowOff>
        </xdr:from>
        <xdr:to>
          <xdr:col>5</xdr:col>
          <xdr:colOff>647700</xdr:colOff>
          <xdr:row>9</xdr:row>
          <xdr:rowOff>19050</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70192" cy="629301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sai, Vishal" refreshedDate="42128.663800694441" createdVersion="4" refreshedVersion="4" minRefreshableVersion="3" recordCount="380">
  <cacheSource type="worksheet">
    <worksheetSource ref="A1:P381" sheet="Data"/>
  </cacheSource>
  <cacheFields count="16">
    <cacheField name="SNAP_TIME" numFmtId="22">
      <sharedItems containsSemiMixedTypes="0" containsNonDate="0" containsDate="1" containsString="0" minDate="2015-05-03T21:00:35" maxDate="2015-05-04T20:30:01" count="95">
        <d v="2015-05-03T21:00:35"/>
        <d v="2015-05-03T21:15:36"/>
        <d v="2015-05-03T21:30:37"/>
        <d v="2015-05-03T21:45:38"/>
        <d v="2015-05-03T22:00:38"/>
        <d v="2015-05-03T22:15:40"/>
        <d v="2015-05-03T22:30:40"/>
        <d v="2015-05-03T22:45:01"/>
        <d v="2015-05-03T23:00:06"/>
        <d v="2015-05-03T23:15:07"/>
        <d v="2015-05-03T23:30:00"/>
        <d v="2015-05-03T23:45:02"/>
        <d v="2015-05-04T00:00:03"/>
        <d v="2015-05-04T00:15:05"/>
        <d v="2015-05-04T00:30:06"/>
        <d v="2015-05-04T00:45:08"/>
        <d v="2015-05-04T01:00:09"/>
        <d v="2015-05-04T01:15:11"/>
        <d v="2015-05-04T01:30:13"/>
        <d v="2015-05-04T01:45:14"/>
        <d v="2015-05-04T02:00:15"/>
        <d v="2015-05-04T02:15:00"/>
        <d v="2015-05-04T02:30:02"/>
        <d v="2015-05-04T02:45:03"/>
        <d v="2015-05-04T03:00:04"/>
        <d v="2015-05-04T03:15:06"/>
        <d v="2015-05-04T03:30:00"/>
        <d v="2015-05-04T03:45:01"/>
        <d v="2015-05-04T04:00:01"/>
        <d v="2015-05-04T04:15:01"/>
        <d v="2015-05-04T04:30:02"/>
        <d v="2015-05-04T04:45:03"/>
        <d v="2015-05-04T05:00:03"/>
        <d v="2015-05-04T05:15:04"/>
        <d v="2015-05-04T05:30:05"/>
        <d v="2015-05-04T05:45:05"/>
        <d v="2015-05-04T06:00:06"/>
        <d v="2015-05-04T06:15:06"/>
        <d v="2015-05-04T06:30:07"/>
        <d v="2015-05-04T06:45:08"/>
        <d v="2015-05-04T07:00:08"/>
        <d v="2015-05-04T07:15:09"/>
        <d v="2015-05-04T07:30:09"/>
        <d v="2015-05-04T07:45:10"/>
        <d v="2015-05-04T08:00:11"/>
        <d v="2015-05-04T08:15:11"/>
        <d v="2015-05-04T08:30:12"/>
        <d v="2015-05-04T08:45:12"/>
        <d v="2015-05-04T09:00:13"/>
        <d v="2015-05-04T09:15:14"/>
        <d v="2015-05-04T09:30:01"/>
        <d v="2015-05-04T09:45:02"/>
        <d v="2015-05-04T10:00:04"/>
        <d v="2015-05-04T10:15:05"/>
        <d v="2015-05-04T10:30:07"/>
        <d v="2015-05-04T10:45:08"/>
        <d v="2015-05-04T11:00:09"/>
        <d v="2015-05-04T11:15:11"/>
        <d v="2015-05-04T11:30:12"/>
        <d v="2015-05-04T11:45:13"/>
        <d v="2015-05-04T12:00:15"/>
        <d v="2015-05-04T12:26:26"/>
        <d v="2015-05-04T12:37:20"/>
        <d v="2015-05-04T12:45:20"/>
        <d v="2015-05-04T13:00:22"/>
        <d v="2015-05-04T13:15:22"/>
        <d v="2015-05-04T13:30:23"/>
        <d v="2015-05-04T13:45:24"/>
        <d v="2015-05-04T14:00:24"/>
        <d v="2015-05-04T14:15:25"/>
        <d v="2015-05-04T14:30:29"/>
        <d v="2015-05-04T14:45:30"/>
        <d v="2015-05-04T15:00:30"/>
        <d v="2015-05-04T15:15:31"/>
        <d v="2015-05-04T15:30:03"/>
        <d v="2015-05-04T15:45:09"/>
        <d v="2015-05-04T16:00:10"/>
        <d v="2015-05-04T16:15:15"/>
        <d v="2015-05-04T16:30:16"/>
        <d v="2015-05-04T16:45:21"/>
        <d v="2015-05-04T17:00:23"/>
        <d v="2015-05-04T17:15:28"/>
        <d v="2015-05-04T17:30:29"/>
        <d v="2015-05-04T17:45:34"/>
        <d v="2015-05-04T18:00:35"/>
        <d v="2015-05-04T18:15:40"/>
        <d v="2015-05-04T18:30:41"/>
        <d v="2015-05-04T18:45:43"/>
        <d v="2015-05-04T19:00:44"/>
        <d v="2015-05-04T19:15:45"/>
        <d v="2015-05-04T19:30:45"/>
        <d v="2015-05-04T19:45:01"/>
        <d v="2015-05-04T20:00:02"/>
        <d v="2015-05-04T20:15:00"/>
        <d v="2015-05-04T20:30:01"/>
      </sharedItems>
    </cacheField>
    <cacheField name="INSTANCE_NUMBER" numFmtId="0">
      <sharedItems containsSemiMixedTypes="0" containsString="0" containsNumber="1" containsInteger="1" minValue="1" maxValue="4" count="4">
        <n v="1"/>
        <n v="2"/>
        <n v="3"/>
        <n v="4"/>
      </sharedItems>
    </cacheField>
    <cacheField name="CPUs" numFmtId="0">
      <sharedItems containsSemiMixedTypes="0" containsString="0" containsNumber="1" containsInteger="1" minValue="48" maxValue="48"/>
    </cacheField>
    <cacheField name="CORES" numFmtId="0">
      <sharedItems containsSemiMixedTypes="0" containsString="0" containsNumber="1" containsInteger="1" minValue="24" maxValue="24"/>
    </cacheField>
    <cacheField name="SOCKETS" numFmtId="0">
      <sharedItems containsSemiMixedTypes="0" containsString="0" containsNumber="1" containsInteger="1" minValue="2" maxValue="2"/>
    </cacheField>
    <cacheField name="Begin Load" numFmtId="0">
      <sharedItems containsSemiMixedTypes="0" containsString="0" containsNumber="1" minValue="1.529296875" maxValue="9.4892578125"/>
    </cacheField>
    <cacheField name="End Load" numFmtId="0">
      <sharedItems containsSemiMixedTypes="0" containsString="0" containsNumber="1" minValue="1.529296875" maxValue="9.4892578125"/>
    </cacheField>
    <cacheField name="Busy %" numFmtId="0">
      <sharedItems containsSemiMixedTypes="0" containsString="0" containsNumber="1" minValue="2.6534397706667887" maxValue="8.5836553353974221"/>
    </cacheField>
    <cacheField name="Usr %" numFmtId="0">
      <sharedItems containsSemiMixedTypes="0" containsString="0" containsNumber="1" minValue="1.5675657003953587" maxValue="6.9498235744427195"/>
    </cacheField>
    <cacheField name="Sys %" numFmtId="0">
      <sharedItems containsSemiMixedTypes="0" containsString="0" containsNumber="1" minValue="0.94662050543612086" maxValue="2.8774734653911205"/>
    </cacheField>
    <cacheField name="WIO %" numFmtId="0">
      <sharedItems containsSemiMixedTypes="0" containsString="0" containsNumber="1" minValue="7.3615870941752277E-3" maxValue="4.1618535911370422E-2"/>
    </cacheField>
    <cacheField name="Idl %" numFmtId="0">
      <sharedItems containsSemiMixedTypes="0" containsString="0" containsNumber="1" minValue="91.416344664602576" maxValue="97.346560229333207"/>
    </cacheField>
    <cacheField name="Busy Time(s)" numFmtId="0">
      <sharedItems containsSemiMixedTypes="0" containsString="0" containsNumber="1" minValue="915.35" maxValue="987137.65"/>
    </cacheField>
    <cacheField name="Idle Time(s)" numFmtId="0">
      <sharedItems containsSemiMixedTypes="0" containsString="0" containsNumber="1" minValue="28911" maxValue="11795003.67"/>
    </cacheField>
    <cacheField name="Total Time(s)" numFmtId="0">
      <sharedItems containsSemiMixedTypes="0" containsString="0" containsNumber="1" minValue="30556.32" maxValue="12239020.369999999"/>
    </cacheField>
    <cacheField name="Memory(MB)" numFmtId="0">
      <sharedItems containsSemiMixedTypes="0" containsString="0" containsNumber="1" minValue="451959.83203125" maxValue="516599.79687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0">
  <r>
    <x v="0"/>
    <x v="0"/>
    <n v="48"/>
    <n v="24"/>
    <n v="2"/>
    <n v="2.7890625"/>
    <n v="2.7890625"/>
    <n v="5.4715942737677601"/>
    <n v="3.7606794292450547"/>
    <n v="1.608644738360784"/>
    <n v="7.6134942275040201E-3"/>
    <n v="94.528405726232236"/>
    <n v="527748.55000000005"/>
    <n v="9117494.1999999993"/>
    <n v="9645242.75"/>
    <n v="516599.796875"/>
  </r>
  <r>
    <x v="0"/>
    <x v="1"/>
    <n v="48"/>
    <n v="24"/>
    <n v="2"/>
    <n v="6.6591796875"/>
    <n v="6.6591796875"/>
    <n v="6.3962173649497469"/>
    <n v="4.8077871723870738"/>
    <n v="1.5191491158793615"/>
    <n v="7.5066980521688751E-3"/>
    <n v="93.603782635050251"/>
    <n v="617544.81999999995"/>
    <n v="9037299.3599999994"/>
    <n v="9654844.1799999997"/>
    <n v="516599.796875"/>
  </r>
  <r>
    <x v="0"/>
    <x v="2"/>
    <n v="48"/>
    <n v="24"/>
    <n v="2"/>
    <n v="7.759765625"/>
    <n v="7.759765625"/>
    <n v="6.7350470725525255"/>
    <n v="5.2917234459546885"/>
    <n v="1.3610840289228094"/>
    <n v="1.2883783752401111E-2"/>
    <n v="93.264952927447467"/>
    <n v="649631.39"/>
    <n v="8995904.6099999994"/>
    <n v="9645536"/>
    <n v="516599.796875"/>
  </r>
  <r>
    <x v="0"/>
    <x v="3"/>
    <n v="48"/>
    <n v="24"/>
    <n v="2"/>
    <n v="2.359375"/>
    <n v="2.359375"/>
    <n v="3.4474156856622744"/>
    <n v="2.2610621032165352"/>
    <n v="1.1502024779001274"/>
    <n v="1.5170477966772769E-2"/>
    <n v="96.552584314337722"/>
    <n v="333168.48"/>
    <n v="9331128.2100000009"/>
    <n v="9664296.6899999995"/>
    <n v="451959.83203125"/>
  </r>
  <r>
    <x v="1"/>
    <x v="0"/>
    <n v="48"/>
    <n v="24"/>
    <n v="2"/>
    <n v="2.419921875"/>
    <n v="2.419921875"/>
    <n v="5.491533418758956"/>
    <n v="3.776101592940603"/>
    <n v="1.6123773939570853"/>
    <n v="7.6034523249124443E-3"/>
    <n v="94.508466581241038"/>
    <n v="532017.98"/>
    <n v="9155949.6500000004"/>
    <n v="9687967.6300000008"/>
    <n v="516599.796875"/>
  </r>
  <r>
    <x v="1"/>
    <x v="1"/>
    <n v="48"/>
    <n v="24"/>
    <n v="2"/>
    <n v="7.2099609375"/>
    <n v="7.2099609375"/>
    <n v="6.4649883559044703"/>
    <n v="4.8706370743826559"/>
    <n v="1.5242644037928932"/>
    <n v="7.4989374743623547E-3"/>
    <n v="93.535011644095533"/>
    <n v="626942.71"/>
    <n v="9070564.4700000007"/>
    <n v="9697507.1799999997"/>
    <n v="516599.796875"/>
  </r>
  <r>
    <x v="1"/>
    <x v="2"/>
    <n v="48"/>
    <n v="24"/>
    <n v="2"/>
    <n v="7.5791015625"/>
    <n v="7.5791015625"/>
    <n v="6.8094880987512445"/>
    <n v="5.3593583392079838"/>
    <n v="1.366923221526529"/>
    <n v="1.2872059822846159E-2"/>
    <n v="93.190511901248755"/>
    <n v="659716.35"/>
    <n v="9028476.6600000001"/>
    <n v="9688193.0099999998"/>
    <n v="516599.796875"/>
  </r>
  <r>
    <x v="1"/>
    <x v="3"/>
    <n v="48"/>
    <n v="24"/>
    <n v="2"/>
    <n v="2.3193359375"/>
    <n v="2.3193359375"/>
    <n v="3.4505752841420074"/>
    <n v="2.2637986057549209"/>
    <n v="1.1505463416558179"/>
    <n v="1.5167217626588063E-2"/>
    <n v="96.549424715857995"/>
    <n v="334956.03000000003"/>
    <n v="9372295.7300000004"/>
    <n v="9707251.7599999998"/>
    <n v="451959.83203125"/>
  </r>
  <r>
    <x v="2"/>
    <x v="0"/>
    <n v="48"/>
    <n v="24"/>
    <n v="2"/>
    <n v="3.0498046875"/>
    <n v="3.0498046875"/>
    <n v="5.5139316941515286"/>
    <n v="3.7934141266053669"/>
    <n v="1.6165739217282669"/>
    <n v="7.5962857661846161E-3"/>
    <n v="94.486068305848477"/>
    <n v="536542.86"/>
    <n v="9194133.7200000007"/>
    <n v="9730676.5800000001"/>
    <n v="516599.796875"/>
  </r>
  <r>
    <x v="2"/>
    <x v="1"/>
    <n v="48"/>
    <n v="24"/>
    <n v="2"/>
    <n v="7.83984375"/>
    <n v="7.83984375"/>
    <n v="6.5401491069802278"/>
    <n v="4.9393254423432191"/>
    <n v="1.5298241003137036"/>
    <n v="7.4896112880037408E-3"/>
    <n v="93.459850893019777"/>
    <n v="637020.88"/>
    <n v="9103137.4800000004"/>
    <n v="9740158.3599999994"/>
    <n v="516599.796875"/>
  </r>
  <r>
    <x v="2"/>
    <x v="2"/>
    <n v="48"/>
    <n v="24"/>
    <n v="2"/>
    <n v="8.349609375"/>
    <n v="8.349609375"/>
    <n v="6.8726863517241936"/>
    <n v="5.4162756493833548"/>
    <n v="1.3723191488301463"/>
    <n v="1.2850577785960781E-2"/>
    <n v="93.127313648275802"/>
    <n v="668770.56000000006"/>
    <n v="9062075.9499999993"/>
    <n v="9730846.5099999998"/>
    <n v="516599.796875"/>
  </r>
  <r>
    <x v="2"/>
    <x v="3"/>
    <n v="48"/>
    <n v="24"/>
    <n v="2"/>
    <n v="1.7197265625"/>
    <n v="1.7197265625"/>
    <n v="3.4524067457761629"/>
    <n v="2.2652563125925562"/>
    <n v="1.1508592389407775"/>
    <n v="1.5158065265467697E-2"/>
    <n v="96.547593254223841"/>
    <n v="336616.18"/>
    <n v="9413572.7400000002"/>
    <n v="9750188.9199999999"/>
    <n v="451959.83203125"/>
  </r>
  <r>
    <x v="3"/>
    <x v="0"/>
    <n v="48"/>
    <n v="24"/>
    <n v="2"/>
    <n v="2.6396484375"/>
    <n v="2.6396484375"/>
    <n v="5.5370773344428308"/>
    <n v="3.8112653773117091"/>
    <n v="1.620961849173076"/>
    <n v="7.5964652087940491E-3"/>
    <n v="94.462922665557173"/>
    <n v="541158.57999999996"/>
    <n v="9232202.8399999999"/>
    <n v="9773361.4199999999"/>
    <n v="516599.796875"/>
  </r>
  <r>
    <x v="3"/>
    <x v="1"/>
    <n v="48"/>
    <n v="24"/>
    <n v="2"/>
    <n v="9.4599609375"/>
    <n v="9.4599609375"/>
    <n v="6.6126347164442176"/>
    <n v="5.0055978929191705"/>
    <n v="1.5351521671513291"/>
    <n v="7.4782293933710669E-3"/>
    <n v="93.387365283555781"/>
    <n v="646900.63"/>
    <n v="9135896.3599999994"/>
    <n v="9782796.9900000002"/>
    <n v="516599.796875"/>
  </r>
  <r>
    <x v="3"/>
    <x v="2"/>
    <n v="48"/>
    <n v="24"/>
    <n v="2"/>
    <n v="7.5595703125"/>
    <n v="7.5595703125"/>
    <n v="6.9395544329060765"/>
    <n v="5.4766977360136515"/>
    <n v="1.3778408429332341"/>
    <n v="1.2836672505949711E-2"/>
    <n v="93.060445567093922"/>
    <n v="678236.17"/>
    <n v="9095246.7899999991"/>
    <n v="9773482.9600000009"/>
    <n v="516599.796875"/>
  </r>
  <r>
    <x v="3"/>
    <x v="3"/>
    <n v="48"/>
    <n v="24"/>
    <n v="2"/>
    <n v="2.0791015625"/>
    <n v="2.0791015625"/>
    <n v="3.4540783065558607"/>
    <n v="2.2664429031776421"/>
    <n v="1.1512733888191111"/>
    <n v="1.5152864628513009E-2"/>
    <n v="96.545921693444143"/>
    <n v="338262.44"/>
    <n v="9454869.3300000001"/>
    <n v="9793131.7699999996"/>
    <n v="451959.83203125"/>
  </r>
  <r>
    <x v="4"/>
    <x v="0"/>
    <n v="48"/>
    <n v="24"/>
    <n v="2"/>
    <n v="3.119140625"/>
    <n v="3.119140625"/>
    <n v="5.5607265619178632"/>
    <n v="3.8295877915934051"/>
    <n v="1.6253773681744392"/>
    <n v="7.5926540317358127E-3"/>
    <n v="94.439273438082139"/>
    <n v="545844.64"/>
    <n v="9270222.2699999996"/>
    <n v="9816066.9100000001"/>
    <n v="516599.796875"/>
  </r>
  <r>
    <x v="4"/>
    <x v="1"/>
    <n v="48"/>
    <n v="24"/>
    <n v="2"/>
    <n v="9.189453125"/>
    <n v="9.189453125"/>
    <n v="6.6882316814206266"/>
    <n v="5.0749059702847701"/>
    <n v="1.5405024574894046"/>
    <n v="7.4682504930987728E-3"/>
    <n v="93.311768318579368"/>
    <n v="657149.56000000006"/>
    <n v="9168310.9100000001"/>
    <n v="9825460.4700000007"/>
    <n v="516599.796875"/>
  </r>
  <r>
    <x v="4"/>
    <x v="2"/>
    <n v="48"/>
    <n v="24"/>
    <n v="2"/>
    <n v="8.619140625"/>
    <n v="8.619140625"/>
    <n v="7.011911914100093"/>
    <n v="5.5419114416737596"/>
    <n v="1.3839579391705874"/>
    <n v="1.2831019359457413E-2"/>
    <n v="92.988088085899903"/>
    <n v="688298.64"/>
    <n v="9127834.9399999995"/>
    <n v="9816133.5800000001"/>
    <n v="516599.796875"/>
  </r>
  <r>
    <x v="4"/>
    <x v="3"/>
    <n v="48"/>
    <n v="24"/>
    <n v="2"/>
    <n v="1.7392578125"/>
    <n v="1.7392578125"/>
    <n v="3.4561574682943057"/>
    <n v="2.2680367438762241"/>
    <n v="1.1516902858128151"/>
    <n v="1.5140877145466775E-2"/>
    <n v="96.543842531705693"/>
    <n v="339950.69"/>
    <n v="9496137.3100000005"/>
    <n v="9836088"/>
    <n v="451959.83203125"/>
  </r>
  <r>
    <x v="5"/>
    <x v="0"/>
    <n v="48"/>
    <n v="24"/>
    <n v="2"/>
    <n v="3.58984375"/>
    <n v="3.58984375"/>
    <n v="5.5861137990807004"/>
    <n v="3.8494555067991563"/>
    <n v="1.6299282293777106"/>
    <n v="7.5803944329164569E-3"/>
    <n v="94.413886200919293"/>
    <n v="550719.42000000004"/>
    <n v="9308002.4000000004"/>
    <n v="9858721.8200000003"/>
    <n v="516599.796875"/>
  </r>
  <r>
    <x v="5"/>
    <x v="1"/>
    <n v="48"/>
    <n v="24"/>
    <n v="2"/>
    <n v="8.7197265625"/>
    <n v="8.7197265625"/>
    <n v="6.7642534300936621"/>
    <n v="5.1446495412162943"/>
    <n v="1.5458720699659017"/>
    <n v="7.463250007135375E-3"/>
    <n v="93.23574656990634"/>
    <n v="667502.41"/>
    <n v="9200584.5399999991"/>
    <n v="9868086.9499999993"/>
    <n v="516599.796875"/>
  </r>
  <r>
    <x v="5"/>
    <x v="2"/>
    <n v="48"/>
    <n v="24"/>
    <n v="2"/>
    <n v="8.8994140625"/>
    <n v="8.8994140625"/>
    <n v="7.0834733913514398"/>
    <n v="5.6066280352528191"/>
    <n v="1.3897906365388044"/>
    <n v="1.2815631339941264E-2"/>
    <n v="92.916526608648553"/>
    <n v="698341.35"/>
    <n v="9160400.4199999999"/>
    <n v="9858741.7699999996"/>
    <n v="516599.796875"/>
  </r>
  <r>
    <x v="5"/>
    <x v="3"/>
    <n v="48"/>
    <n v="24"/>
    <n v="2"/>
    <n v="1.76953125"/>
    <n v="1.76953125"/>
    <n v="3.4631344704211195"/>
    <n v="2.2744929799690925"/>
    <n v="1.1521083602174071"/>
    <n v="1.5131381162840006E-2"/>
    <n v="96.536865529578876"/>
    <n v="342123.25"/>
    <n v="9536882.4000000004"/>
    <n v="9879005.6500000004"/>
    <n v="451959.83203125"/>
  </r>
  <r>
    <x v="6"/>
    <x v="0"/>
    <n v="48"/>
    <n v="24"/>
    <n v="2"/>
    <n v="3.169921875"/>
    <n v="3.169921875"/>
    <n v="5.6081476584663594"/>
    <n v="3.8664310755416831"/>
    <n v="1.6341015448224008"/>
    <n v="7.569783852078538E-3"/>
    <n v="94.391852341533635"/>
    <n v="555178.02"/>
    <n v="9344312.0399999991"/>
    <n v="9899490.0600000005"/>
    <n v="516599.796875"/>
  </r>
  <r>
    <x v="6"/>
    <x v="1"/>
    <n v="48"/>
    <n v="24"/>
    <n v="2"/>
    <n v="7.2890625"/>
    <n v="7.2890625"/>
    <n v="6.829082514458233"/>
    <n v="5.2040589491008991"/>
    <n v="1.5505522727512275"/>
    <n v="7.4540624742413953E-3"/>
    <n v="93.170917485541764"/>
    <n v="676681.83"/>
    <n v="9232143.0899999999"/>
    <n v="9908824.9199999999"/>
    <n v="516599.796875"/>
  </r>
  <r>
    <x v="6"/>
    <x v="2"/>
    <n v="48"/>
    <n v="24"/>
    <n v="2"/>
    <n v="9.009765625"/>
    <n v="9.009765625"/>
    <n v="7.1505091474361606"/>
    <n v="5.6675072507698738"/>
    <n v="1.3950691036375307"/>
    <n v="1.2798665664252005E-2"/>
    <n v="92.849490852563846"/>
    <n v="707862.47"/>
    <n v="9191607"/>
    <n v="9899469.4700000007"/>
    <n v="516599.796875"/>
  </r>
  <r>
    <x v="6"/>
    <x v="3"/>
    <n v="48"/>
    <n v="24"/>
    <n v="2"/>
    <n v="1.6494140625"/>
    <n v="1.6494140625"/>
    <n v="3.464127325416781"/>
    <n v="2.275299620304617"/>
    <n v="1.1522545759627096"/>
    <n v="1.5120944450803305E-2"/>
    <n v="96.535872674583217"/>
    <n v="343641.96"/>
    <n v="9576373.3200000003"/>
    <n v="9920015.2799999993"/>
    <n v="451959.83203125"/>
  </r>
  <r>
    <x v="7"/>
    <x v="0"/>
    <n v="48"/>
    <n v="24"/>
    <n v="2"/>
    <n v="2.7890625"/>
    <n v="2.7890625"/>
    <n v="5.6337780544021312"/>
    <n v="3.8859126344246948"/>
    <n v="1.6391599223387641"/>
    <n v="7.5521457934795361E-3"/>
    <n v="94.366221945597871"/>
    <n v="560129.36"/>
    <n v="9382210.4800000004"/>
    <n v="9942339.8399999999"/>
    <n v="516599.796875"/>
  </r>
  <r>
    <x v="7"/>
    <x v="1"/>
    <n v="48"/>
    <n v="24"/>
    <n v="2"/>
    <n v="8.3095703125"/>
    <n v="8.3095703125"/>
    <n v="6.9003879048561672"/>
    <n v="5.2690686968644247"/>
    <n v="1.5559442097637999"/>
    <n v="7.4454553248182202E-3"/>
    <n v="93.09961209514384"/>
    <n v="686706.48"/>
    <n v="9265001.8800000008"/>
    <n v="9951708.3599999994"/>
    <n v="516599.796875"/>
  </r>
  <r>
    <x v="7"/>
    <x v="2"/>
    <n v="48"/>
    <n v="24"/>
    <n v="2"/>
    <n v="8.349609375"/>
    <n v="8.349609375"/>
    <n v="7.2208880686042232"/>
    <n v="5.7308401991472646"/>
    <n v="1.4011009310768723"/>
    <n v="1.2783534339469643E-2"/>
    <n v="92.779111931395775"/>
    <n v="717923.86"/>
    <n v="9224396.9900000002"/>
    <n v="9942320.8499999996"/>
    <n v="516599.796875"/>
  </r>
  <r>
    <x v="7"/>
    <x v="3"/>
    <n v="48"/>
    <n v="24"/>
    <n v="2"/>
    <n v="1.689453125"/>
    <n v="1.689453125"/>
    <n v="3.4656277427528535"/>
    <n v="2.2763504732303308"/>
    <n v="1.1526308835860244"/>
    <n v="1.5112064867802736E-2"/>
    <n v="96.534372257247142"/>
    <n v="345286.22"/>
    <n v="9617879.0600000005"/>
    <n v="9963165.2799999993"/>
    <n v="451959.83203125"/>
  </r>
  <r>
    <x v="8"/>
    <x v="0"/>
    <n v="48"/>
    <n v="24"/>
    <n v="2"/>
    <n v="4.25"/>
    <n v="4.25"/>
    <n v="5.6616453058150267"/>
    <n v="3.908171428418914"/>
    <n v="1.6437673071185721"/>
    <n v="7.5485235023632774E-3"/>
    <n v="94.338354694184972"/>
    <n v="565315.23"/>
    <n v="9419683.8200000003"/>
    <n v="9984999.0500000007"/>
    <n v="516599.796875"/>
  </r>
  <r>
    <x v="8"/>
    <x v="1"/>
    <n v="48"/>
    <n v="24"/>
    <n v="2"/>
    <n v="8.75"/>
    <n v="8.75"/>
    <n v="6.9693802957569684"/>
    <n v="5.3321983719627655"/>
    <n v="1.5609515666493499"/>
    <n v="7.4411224872787734E-3"/>
    <n v="93.030619704243037"/>
    <n v="696542.55"/>
    <n v="9297782.9199999999"/>
    <n v="9994325.4700000007"/>
    <n v="516599.796875"/>
  </r>
  <r>
    <x v="8"/>
    <x v="2"/>
    <n v="48"/>
    <n v="24"/>
    <n v="2"/>
    <n v="7.9892578125"/>
    <n v="7.9892578125"/>
    <n v="7.2907675592750438"/>
    <n v="5.7940416730651298"/>
    <n v="1.4068011426365548"/>
    <n v="1.27774310047469E-2"/>
    <n v="92.709232440724961"/>
    <n v="727979.44"/>
    <n v="9256969.8000000007"/>
    <n v="9984949.2400000002"/>
    <n v="516599.796875"/>
  </r>
  <r>
    <x v="8"/>
    <x v="3"/>
    <n v="48"/>
    <n v="24"/>
    <n v="2"/>
    <n v="2.109375"/>
    <n v="2.109375"/>
    <n v="3.4672478197724041"/>
    <n v="2.2775265122062187"/>
    <n v="1.1530028799572536"/>
    <n v="1.5089006328799887E-2"/>
    <n v="96.53275218022759"/>
    <n v="346936.04"/>
    <n v="9659156.9199999999"/>
    <n v="10006092.960000001"/>
    <n v="451959.83203125"/>
  </r>
  <r>
    <x v="9"/>
    <x v="0"/>
    <n v="48"/>
    <n v="24"/>
    <n v="2"/>
    <n v="3.7294921875"/>
    <n v="3.7294921875"/>
    <n v="5.6864905729130113"/>
    <n v="3.9274828033571212"/>
    <n v="1.648324922933639"/>
    <n v="7.5396243726267263E-3"/>
    <n v="94.313509427086984"/>
    <n v="570200.9"/>
    <n v="9457089.0899999999"/>
    <n v="10027289.99"/>
    <n v="516599.796875"/>
  </r>
  <r>
    <x v="9"/>
    <x v="1"/>
    <n v="48"/>
    <n v="24"/>
    <n v="2"/>
    <n v="7.4697265625"/>
    <n v="7.4697265625"/>
    <n v="7.0321099743519921"/>
    <n v="5.3894369666974136"/>
    <n v="1.5656764264972294"/>
    <n v="7.4300854915163757E-3"/>
    <n v="92.967890025648003"/>
    <n v="705786.68"/>
    <n v="9330840.7699999996"/>
    <n v="10036627.449999999"/>
    <n v="516599.796875"/>
  </r>
  <r>
    <x v="9"/>
    <x v="2"/>
    <n v="48"/>
    <n v="24"/>
    <n v="2"/>
    <n v="8.2890625"/>
    <n v="8.2890625"/>
    <n v="7.3625847662638506"/>
    <n v="5.8587454931529841"/>
    <n v="1.4128644603011959"/>
    <n v="1.2767096554747465E-2"/>
    <n v="92.637415233736149"/>
    <n v="738259.77"/>
    <n v="9288922.1699999999"/>
    <n v="10027181.939999999"/>
    <n v="516599.796875"/>
  </r>
  <r>
    <x v="9"/>
    <x v="3"/>
    <n v="48"/>
    <n v="24"/>
    <n v="2"/>
    <n v="3.69921875"/>
    <n v="3.69921875"/>
    <n v="3.4717866745761197"/>
    <n v="2.2811923364794762"/>
    <n v="1.1537845831128137"/>
    <n v="1.5074933599581297E-2"/>
    <n v="96.528213325423877"/>
    <n v="348868.31"/>
    <n v="9699799.5"/>
    <n v="10048667.810000001"/>
    <n v="451959.83203125"/>
  </r>
  <r>
    <x v="10"/>
    <x v="0"/>
    <n v="48"/>
    <n v="24"/>
    <n v="2"/>
    <n v="3.0693359375"/>
    <n v="3.0693359375"/>
    <n v="5.7060752180970384"/>
    <n v="3.9426400078130346"/>
    <n v="1.6519914062619019"/>
    <n v="7.5339294126275562E-3"/>
    <n v="94.293924781902959"/>
    <n v="574604.28"/>
    <n v="9495439.6300000008"/>
    <n v="10070043.91"/>
    <n v="516599.796875"/>
  </r>
  <r>
    <x v="10"/>
    <x v="1"/>
    <n v="48"/>
    <n v="24"/>
    <n v="2"/>
    <n v="6.6396484375"/>
    <n v="6.6396484375"/>
    <n v="7.0960537813318805"/>
    <n v="5.4480558064827802"/>
    <n v="1.5702605496736335"/>
    <n v="7.428273054935988E-3"/>
    <n v="92.903946218668125"/>
    <n v="715234.53"/>
    <n v="9364093.3900000006"/>
    <n v="10079327.92"/>
    <n v="516599.796875"/>
  </r>
  <r>
    <x v="10"/>
    <x v="2"/>
    <n v="48"/>
    <n v="24"/>
    <n v="2"/>
    <n v="8.33984375"/>
    <n v="8.33984375"/>
    <n v="7.4248652827107318"/>
    <n v="5.9151190592339642"/>
    <n v="1.417965208351389"/>
    <n v="1.2781692791444733E-2"/>
    <n v="92.575134717289274"/>
    <n v="747674.37"/>
    <n v="9322196.8200000003"/>
    <n v="10069871.189999999"/>
    <n v="516599.796875"/>
  </r>
  <r>
    <x v="10"/>
    <x v="3"/>
    <n v="48"/>
    <n v="24"/>
    <n v="2"/>
    <n v="1.9892578125"/>
    <n v="1.9892578125"/>
    <n v="3.4739206448566415"/>
    <n v="2.2829732991524203"/>
    <n v="1.1540886900045622"/>
    <n v="1.5077302321405531E-2"/>
    <n v="96.526079355143352"/>
    <n v="350576.24"/>
    <n v="9741083.1799999997"/>
    <n v="10091659.42"/>
    <n v="451959.83203125"/>
  </r>
  <r>
    <x v="11"/>
    <x v="0"/>
    <n v="48"/>
    <n v="24"/>
    <n v="2"/>
    <n v="2.5693359375"/>
    <n v="2.5693359375"/>
    <n v="5.7245516799966234"/>
    <n v="3.9566575422927008"/>
    <n v="1.6556707911385844"/>
    <n v="7.523740647137297E-3"/>
    <n v="94.275448320003377"/>
    <n v="578911.81999999995"/>
    <n v="9533876.9600000009"/>
    <n v="10112788.779999999"/>
    <n v="516599.796875"/>
  </r>
  <r>
    <x v="11"/>
    <x v="1"/>
    <n v="48"/>
    <n v="24"/>
    <n v="2"/>
    <n v="9.2197265625"/>
    <n v="9.2197265625"/>
    <n v="7.1573496205942284"/>
    <n v="5.5039636749662986"/>
    <n v="1.5749021401051799"/>
    <n v="7.4222306241865862E-3"/>
    <n v="92.842650379405768"/>
    <n v="724468.68"/>
    <n v="9397555.7899999991"/>
    <n v="10122024.470000001"/>
    <n v="516599.796875"/>
  </r>
  <r>
    <x v="11"/>
    <x v="2"/>
    <n v="48"/>
    <n v="24"/>
    <n v="2"/>
    <n v="8.4296875"/>
    <n v="8.4296875"/>
    <n v="7.4928708932700205"/>
    <n v="5.9765422504131509"/>
    <n v="1.4235868909243805"/>
    <n v="1.2776126782980759E-2"/>
    <n v="92.507129106729977"/>
    <n v="757719.02"/>
    <n v="9354813.6899999995"/>
    <n v="10112532.710000001"/>
    <n v="516599.796875"/>
  </r>
  <r>
    <x v="11"/>
    <x v="3"/>
    <n v="48"/>
    <n v="24"/>
    <n v="2"/>
    <n v="2.619140625"/>
    <n v="2.619140625"/>
    <n v="3.4773154313074985"/>
    <n v="2.2857782328351872"/>
    <n v="1.1545926591241067"/>
    <n v="1.5066568446672817E-2"/>
    <n v="96.522684568692497"/>
    <n v="352412.83"/>
    <n v="9782210.7599999998"/>
    <n v="10134623.59"/>
    <n v="451959.83203125"/>
  </r>
  <r>
    <x v="12"/>
    <x v="0"/>
    <n v="48"/>
    <n v="24"/>
    <n v="2"/>
    <n v="2.6796875"/>
    <n v="2.6796875"/>
    <n v="5.7463750772117947"/>
    <n v="3.9731269622209973"/>
    <n v="1.6601267760219387"/>
    <n v="7.5172254709228482E-3"/>
    <n v="94.253624922788205"/>
    <n v="583571.72"/>
    <n v="9571903.9000000004"/>
    <n v="10155475.619999999"/>
    <n v="516599.796875"/>
  </r>
  <r>
    <x v="12"/>
    <x v="1"/>
    <n v="48"/>
    <n v="24"/>
    <n v="2"/>
    <n v="8.4599609375"/>
    <n v="8.4599609375"/>
    <n v="7.221838945803956"/>
    <n v="5.5625314421552492"/>
    <n v="1.5799828614675167"/>
    <n v="7.4135014110011501E-3"/>
    <n v="92.778161054196048"/>
    <n v="734078.09"/>
    <n v="9430619.5099999998"/>
    <n v="10164697.6"/>
    <n v="516599.796875"/>
  </r>
  <r>
    <x v="12"/>
    <x v="2"/>
    <n v="48"/>
    <n v="24"/>
    <n v="2"/>
    <n v="7.3193359375"/>
    <n v="7.3193359375"/>
    <n v="7.5536561668451903"/>
    <n v="6.0309048894752442"/>
    <n v="1.4291378953468181"/>
    <n v="1.277059514024991E-2"/>
    <n v="92.446343833154813"/>
    <n v="767089.2"/>
    <n v="9388114.8900000006"/>
    <n v="10155204.09"/>
    <n v="516599.796875"/>
  </r>
  <r>
    <x v="12"/>
    <x v="3"/>
    <n v="48"/>
    <n v="24"/>
    <n v="2"/>
    <n v="2.359375"/>
    <n v="2.359375"/>
    <n v="3.4809552073241239"/>
    <n v="2.2889368466719611"/>
    <n v="1.1550094205901147"/>
    <n v="1.5057683210541536E-2"/>
    <n v="96.519044792675871"/>
    <n v="354277.52"/>
    <n v="9823317.3900000006"/>
    <n v="10177594.91"/>
    <n v="451959.83203125"/>
  </r>
  <r>
    <x v="13"/>
    <x v="0"/>
    <n v="48"/>
    <n v="24"/>
    <n v="2"/>
    <n v="3.01953125"/>
    <n v="3.01953125"/>
    <n v="5.7682005133870824"/>
    <n v="3.9896665485586218"/>
    <n v="1.6644925949574236"/>
    <n v="7.5062440036215341E-3"/>
    <n v="94.231799486612914"/>
    <n v="588251.26"/>
    <n v="9609925.0800000001"/>
    <n v="10198176.34"/>
    <n v="516599.796875"/>
  </r>
  <r>
    <x v="13"/>
    <x v="1"/>
    <n v="48"/>
    <n v="24"/>
    <n v="2"/>
    <n v="6.3994140625"/>
    <n v="6.3994140625"/>
    <n v="7.2871773567105995"/>
    <n v="5.6219908573886048"/>
    <n v="1.5850204180525687"/>
    <n v="7.4028940625051141E-3"/>
    <n v="92.7128226432894"/>
    <n v="743828.38"/>
    <n v="9463530.9800000004"/>
    <n v="10207359.359999999"/>
    <n v="516599.796875"/>
  </r>
  <r>
    <x v="13"/>
    <x v="2"/>
    <n v="48"/>
    <n v="24"/>
    <n v="2"/>
    <n v="7.8994140625"/>
    <n v="7.8994140625"/>
    <n v="7.611329529091071"/>
    <n v="6.0827508984613896"/>
    <n v="1.4341546767217777"/>
    <n v="1.2760301201473435E-2"/>
    <n v="92.388670470908934"/>
    <n v="776194.13"/>
    <n v="9421684.2699999996"/>
    <n v="10197878.4"/>
    <n v="516599.796875"/>
  </r>
  <r>
    <x v="13"/>
    <x v="3"/>
    <n v="48"/>
    <n v="24"/>
    <n v="2"/>
    <n v="1.6396484375"/>
    <n v="1.6396484375"/>
    <n v="3.4824492514091561"/>
    <n v="2.2900768019348625"/>
    <n v="1.1553061460548826"/>
    <n v="1.5047331406770309E-2"/>
    <n v="96.51755074859085"/>
    <n v="355925.46"/>
    <n v="9864624.3399999999"/>
    <n v="10220549.800000001"/>
    <n v="451959.83203125"/>
  </r>
  <r>
    <x v="14"/>
    <x v="0"/>
    <n v="48"/>
    <n v="24"/>
    <n v="2"/>
    <n v="3"/>
    <n v="3"/>
    <n v="5.7896689377282105"/>
    <n v="4.006152027559434"/>
    <n v="1.6686015354274315"/>
    <n v="7.5041183523115278E-3"/>
    <n v="94.210331062271791"/>
    <n v="592914.78"/>
    <n v="9647995.1300000008"/>
    <n v="10240909.91"/>
    <n v="516599.796875"/>
  </r>
  <r>
    <x v="14"/>
    <x v="1"/>
    <n v="48"/>
    <n v="24"/>
    <n v="2"/>
    <n v="7.2392578125"/>
    <n v="7.2392578125"/>
    <n v="7.3484175516455323"/>
    <n v="5.6777474636491245"/>
    <n v="1.5896977311717735"/>
    <n v="7.4043515028906241E-3"/>
    <n v="92.651582448354475"/>
    <n v="753216.74"/>
    <n v="9496836.8900000006"/>
    <n v="10250053.630000001"/>
    <n v="516599.796875"/>
  </r>
  <r>
    <x v="14"/>
    <x v="2"/>
    <n v="48"/>
    <n v="24"/>
    <n v="2"/>
    <n v="7.109375"/>
    <n v="7.109375"/>
    <n v="7.6750545147582185"/>
    <n v="6.1399623662638927"/>
    <n v="1.4397071471603318"/>
    <n v="1.2750277052915473E-2"/>
    <n v="92.324945485241784"/>
    <n v="785968.7"/>
    <n v="9454593.0899999999"/>
    <n v="10240561.789999999"/>
    <n v="516599.796875"/>
  </r>
  <r>
    <x v="14"/>
    <x v="3"/>
    <n v="48"/>
    <n v="24"/>
    <n v="2"/>
    <n v="2.2998046875"/>
    <n v="2.2998046875"/>
    <n v="3.4857212090872762"/>
    <n v="2.2929180288093467"/>
    <n v="1.1556718240005184"/>
    <n v="1.5029810857538715E-2"/>
    <n v="96.514278790912726"/>
    <n v="357758.24"/>
    <n v="9905777.4399999995"/>
    <n v="10263535.68"/>
    <n v="451959.83203125"/>
  </r>
  <r>
    <x v="15"/>
    <x v="0"/>
    <n v="48"/>
    <n v="24"/>
    <n v="2"/>
    <n v="3.4599609375"/>
    <n v="3.4599609375"/>
    <n v="5.8088790916396276"/>
    <n v="4.0207590301892475"/>
    <n v="1.6724045412012936"/>
    <n v="7.4962992777835068E-3"/>
    <n v="94.191120908360375"/>
    <n v="597362.32999999996"/>
    <n v="9686245.2400000002"/>
    <n v="10283607.57"/>
    <n v="516599.796875"/>
  </r>
  <r>
    <x v="15"/>
    <x v="1"/>
    <n v="48"/>
    <n v="24"/>
    <n v="2"/>
    <n v="8.69921875"/>
    <n v="8.69921875"/>
    <n v="7.4062768211611534"/>
    <n v="5.7303095838127787"/>
    <n v="1.5942536760512616"/>
    <n v="7.3962675516155187E-3"/>
    <n v="92.593723178838843"/>
    <n v="762310.23"/>
    <n v="9530448.8499999996"/>
    <n v="10292759.08"/>
    <n v="516599.796875"/>
  </r>
  <r>
    <x v="15"/>
    <x v="2"/>
    <n v="48"/>
    <n v="24"/>
    <n v="2"/>
    <n v="8.1396484375"/>
    <n v="8.1396484375"/>
    <n v="7.7421033736539213"/>
    <n v="6.2003301591081765"/>
    <n v="1.4454028767681075"/>
    <n v="1.2749817976750894E-2"/>
    <n v="92.257896626346081"/>
    <n v="796136.41"/>
    <n v="9487069.2200000007"/>
    <n v="10283205.630000001"/>
    <n v="516599.796875"/>
  </r>
  <r>
    <x v="15"/>
    <x v="3"/>
    <n v="48"/>
    <n v="24"/>
    <n v="2"/>
    <n v="2.369140625"/>
    <n v="2.369140625"/>
    <n v="3.4875661805746918"/>
    <n v="2.2942420698128809"/>
    <n v="1.1561229849060677"/>
    <n v="1.5009281797963179E-2"/>
    <n v="96.512433819425311"/>
    <n v="359445.63"/>
    <n v="9947043.5199999996"/>
    <n v="10306489.15"/>
    <n v="451959.83203125"/>
  </r>
  <r>
    <x v="16"/>
    <x v="0"/>
    <n v="48"/>
    <n v="24"/>
    <n v="2"/>
    <n v="3.529296875"/>
    <n v="3.529296875"/>
    <n v="5.8337382029432394"/>
    <n v="4.0396022209538476"/>
    <n v="1.6774670438384229"/>
    <n v="7.4955302038694346E-3"/>
    <n v="94.166261797056762"/>
    <n v="602408.57999999996"/>
    <n v="9723878.9399999995"/>
    <n v="10326287.52"/>
    <n v="516599.796875"/>
  </r>
  <r>
    <x v="16"/>
    <x v="1"/>
    <n v="48"/>
    <n v="24"/>
    <n v="2"/>
    <n v="7.609375"/>
    <n v="7.609375"/>
    <n v="7.4732899105474466"/>
    <n v="5.7913206293843809"/>
    <n v="1.5994034677477151"/>
    <n v="7.4101432256539713E-3"/>
    <n v="92.52671008945255"/>
    <n v="772396.48"/>
    <n v="9563031.2799999993"/>
    <n v="10335427.76"/>
    <n v="516599.796875"/>
  </r>
  <r>
    <x v="16"/>
    <x v="2"/>
    <n v="48"/>
    <n v="24"/>
    <n v="2"/>
    <n v="7.8193359375"/>
    <n v="7.8193359375"/>
    <n v="7.8010768457447934"/>
    <n v="6.2529008143652796"/>
    <n v="1.4508965854331761"/>
    <n v="1.2731348573855081E-2"/>
    <n v="92.198923154255212"/>
    <n v="805527.52"/>
    <n v="9520322.8200000003"/>
    <n v="10325850.34"/>
    <n v="516599.796875"/>
  </r>
  <r>
    <x v="16"/>
    <x v="3"/>
    <n v="48"/>
    <n v="24"/>
    <n v="2"/>
    <n v="2.1591796875"/>
    <n v="2.1591796875"/>
    <n v="3.4886240194266516"/>
    <n v="2.294935597975468"/>
    <n v="1.1564390396872828"/>
    <n v="1.5022232521503179E-2"/>
    <n v="96.511375980573348"/>
    <n v="361053.76"/>
    <n v="9988406.5999999996"/>
    <n v="10349460.359999999"/>
    <n v="451959.83203125"/>
  </r>
  <r>
    <x v="17"/>
    <x v="0"/>
    <n v="48"/>
    <n v="24"/>
    <n v="2"/>
    <n v="3.029296875"/>
    <n v="3.029296875"/>
    <n v="5.8531374959380447"/>
    <n v="4.0541962795192816"/>
    <n v="1.6814404071668658"/>
    <n v="7.4940312841463531E-3"/>
    <n v="94.146862504061957"/>
    <n v="606914.87"/>
    <n v="9762137.1199999992"/>
    <n v="10369051.99"/>
    <n v="516599.796875"/>
  </r>
  <r>
    <x v="17"/>
    <x v="1"/>
    <n v="48"/>
    <n v="24"/>
    <n v="2"/>
    <n v="7.7099609375"/>
    <n v="7.7099609375"/>
    <n v="7.5413970092621261"/>
    <n v="5.8535526235246946"/>
    <n v="1.6044352135839195"/>
    <n v="7.4171292601113601E-3"/>
    <n v="92.458602990737873"/>
    <n v="782656.68"/>
    <n v="9595482.5299999993"/>
    <n v="10378139.210000001"/>
    <n v="516599.796875"/>
  </r>
  <r>
    <x v="17"/>
    <x v="2"/>
    <n v="48"/>
    <n v="24"/>
    <n v="2"/>
    <n v="8.1298828125"/>
    <n v="8.1298828125"/>
    <n v="7.856489722423083"/>
    <n v="6.3023869980110563"/>
    <n v="1.4560063383876316"/>
    <n v="1.271110980374097E-2"/>
    <n v="92.143510277576922"/>
    <n v="814605.44"/>
    <n v="9553962.0600000005"/>
    <n v="10368567.5"/>
    <n v="516599.796875"/>
  </r>
  <r>
    <x v="17"/>
    <x v="3"/>
    <n v="48"/>
    <n v="24"/>
    <n v="2"/>
    <n v="2.51953125"/>
    <n v="2.51953125"/>
    <n v="3.4912082711980625"/>
    <n v="2.2969331249669005"/>
    <n v="1.1569494803030369"/>
    <n v="1.5078315820335695E-2"/>
    <n v="96.508791728801938"/>
    <n v="362822.9"/>
    <n v="10029650.76"/>
    <n v="10392473.66"/>
    <n v="451959.83203125"/>
  </r>
  <r>
    <x v="18"/>
    <x v="0"/>
    <n v="48"/>
    <n v="24"/>
    <n v="2"/>
    <n v="3.0498046875"/>
    <n v="3.0498046875"/>
    <n v="5.8764328613138197"/>
    <n v="4.0721124091454408"/>
    <n v="1.6858464703107274"/>
    <n v="7.4926257938261309E-3"/>
    <n v="94.123567138686184"/>
    <n v="611836.78"/>
    <n v="9799866.9600000009"/>
    <n v="10411703.74"/>
    <n v="516599.796875"/>
  </r>
  <r>
    <x v="18"/>
    <x v="1"/>
    <n v="48"/>
    <n v="24"/>
    <n v="2"/>
    <n v="7.349609375"/>
    <n v="7.349609375"/>
    <n v="7.5947912216398956"/>
    <n v="5.9017137414078285"/>
    <n v="1.6089601693492037"/>
    <n v="7.4278592869422826E-3"/>
    <n v="92.405208778360105"/>
    <n v="791435.59"/>
    <n v="9629332.6300000008"/>
    <n v="10420768.220000001"/>
    <n v="516599.796875"/>
  </r>
  <r>
    <x v="18"/>
    <x v="2"/>
    <n v="48"/>
    <n v="24"/>
    <n v="2"/>
    <n v="6.83984375"/>
    <n v="6.83984375"/>
    <n v="7.9060848760482374"/>
    <n v="6.3459738564957959"/>
    <n v="1.4611777108618604"/>
    <n v="1.2707691372897954E-2"/>
    <n v="92.09391512395176"/>
    <n v="823116.34"/>
    <n v="9588058.7599999998"/>
    <n v="10411175.1"/>
    <n v="516599.796875"/>
  </r>
  <r>
    <x v="18"/>
    <x v="3"/>
    <n v="48"/>
    <n v="24"/>
    <n v="2"/>
    <n v="2"/>
    <n v="2"/>
    <n v="3.4945166175441682"/>
    <n v="2.2997175332673865"/>
    <n v="1.1574033376094159"/>
    <n v="1.5065376655886616E-2"/>
    <n v="96.505483382455836"/>
    <n v="364666.25"/>
    <n v="10070718.380000001"/>
    <n v="10435384.630000001"/>
    <n v="451959.83203125"/>
  </r>
  <r>
    <x v="19"/>
    <x v="0"/>
    <n v="48"/>
    <n v="24"/>
    <n v="2"/>
    <n v="2.9794921875"/>
    <n v="2.9794921875"/>
    <n v="5.8960089107118083"/>
    <n v="4.0869039809477403"/>
    <n v="1.6898028498680173"/>
    <n v="7.4920467272846913E-3"/>
    <n v="94.103991089288186"/>
    <n v="616393.51"/>
    <n v="9838026.0700000003"/>
    <n v="10454419.58"/>
    <n v="516599.796875"/>
  </r>
  <r>
    <x v="19"/>
    <x v="1"/>
    <n v="48"/>
    <n v="24"/>
    <n v="2"/>
    <n v="8.1591796875"/>
    <n v="8.1591796875"/>
    <n v="7.6641329286283018"/>
    <n v="5.964940099210275"/>
    <n v="1.6142342201128161"/>
    <n v="7.4215580309059349E-3"/>
    <n v="92.335867071371695"/>
    <n v="801931.67"/>
    <n v="9661504.6699999999"/>
    <n v="10463436.34"/>
    <n v="516599.796875"/>
  </r>
  <r>
    <x v="19"/>
    <x v="2"/>
    <n v="48"/>
    <n v="24"/>
    <n v="2"/>
    <n v="9.4892578125"/>
    <n v="9.4892578125"/>
    <n v="7.968545514460577"/>
    <n v="6.4021124131549891"/>
    <n v="1.4665822227450154"/>
    <n v="1.270718573508217E-2"/>
    <n v="92.031454485539427"/>
    <n v="833019.71"/>
    <n v="9620829.2200000007"/>
    <n v="10453848.93"/>
    <n v="516599.796875"/>
  </r>
  <r>
    <x v="19"/>
    <x v="3"/>
    <n v="48"/>
    <n v="24"/>
    <n v="2"/>
    <n v="2.0693359375"/>
    <n v="2.0693359375"/>
    <n v="3.4963005392871414"/>
    <n v="2.3011602263333959"/>
    <n v="1.1576815632225512"/>
    <n v="1.5067444383169865E-2"/>
    <n v="96.503699460712852"/>
    <n v="366354.71"/>
    <n v="10111998.220000001"/>
    <n v="10478352.93"/>
    <n v="451959.83203125"/>
  </r>
  <r>
    <x v="20"/>
    <x v="0"/>
    <n v="48"/>
    <n v="24"/>
    <n v="2"/>
    <n v="3.5"/>
    <n v="3.5"/>
    <n v="5.9153756373213504"/>
    <n v="4.1014448713482698"/>
    <n v="1.6937839896622382"/>
    <n v="7.4940313555759541E-3"/>
    <n v="94.084624362678653"/>
    <n v="620898.72"/>
    <n v="9875454.4800000004"/>
    <n v="10496353.199999999"/>
    <n v="516599.796875"/>
  </r>
  <r>
    <x v="20"/>
    <x v="1"/>
    <n v="48"/>
    <n v="24"/>
    <n v="2"/>
    <n v="7.1494140625"/>
    <n v="7.1494140625"/>
    <n v="7.7235916225717247"/>
    <n v="6.0191152432895958"/>
    <n v="1.6187976630718077"/>
    <n v="7.4146104605464875E-3"/>
    <n v="92.276408377428268"/>
    <n v="811389.52"/>
    <n v="9693949.9600000009"/>
    <n v="10505339.48"/>
    <n v="516599.796875"/>
  </r>
  <r>
    <x v="20"/>
    <x v="2"/>
    <n v="48"/>
    <n v="24"/>
    <n v="2"/>
    <n v="8.9697265625"/>
    <n v="8.9697265625"/>
    <n v="8.033715965992414"/>
    <n v="6.4607137889448065"/>
    <n v="1.4721950115315288"/>
    <n v="1.2714775203806244E-2"/>
    <n v="91.966284034007586"/>
    <n v="843198.1"/>
    <n v="9652543.8900000006"/>
    <n v="10495741.99"/>
    <n v="516599.796875"/>
  </r>
  <r>
    <x v="20"/>
    <x v="3"/>
    <n v="48"/>
    <n v="24"/>
    <n v="2"/>
    <n v="2.5"/>
    <n v="2.5"/>
    <n v="3.4977635924384516"/>
    <n v="2.3022393009510203"/>
    <n v="1.1580165917826295"/>
    <n v="1.5059312773234725E-2"/>
    <n v="96.502236407561554"/>
    <n v="367983.38"/>
    <n v="10152549.82"/>
    <n v="10520533.199999999"/>
    <n v="451959.83203125"/>
  </r>
  <r>
    <x v="21"/>
    <x v="0"/>
    <n v="48"/>
    <n v="24"/>
    <n v="2"/>
    <n v="3.0390625"/>
    <n v="3.0390625"/>
    <n v="5.9397143134856885"/>
    <n v="4.1189534930030645"/>
    <n v="1.6994086220591282"/>
    <n v="7.4884703332554516E-3"/>
    <n v="94.060285686514305"/>
    <n v="625986.57999999996"/>
    <n v="9913014.9100000001"/>
    <n v="10539001.49"/>
    <n v="516599.796875"/>
  </r>
  <r>
    <x v="21"/>
    <x v="1"/>
    <n v="48"/>
    <n v="24"/>
    <n v="2"/>
    <n v="7.3994140625"/>
    <n v="7.3994140625"/>
    <n v="7.7916661796452873"/>
    <n v="6.0799414073011695"/>
    <n v="1.6248384201003245"/>
    <n v="7.4002916432391961E-3"/>
    <n v="92.20833382035471"/>
    <n v="821862.04"/>
    <n v="9726100.6300000008"/>
    <n v="10547962.67"/>
    <n v="516599.796875"/>
  </r>
  <r>
    <x v="21"/>
    <x v="2"/>
    <n v="48"/>
    <n v="24"/>
    <n v="2"/>
    <n v="6.4794921875"/>
    <n v="6.4794921875"/>
    <n v="8.1013591740509234"/>
    <n v="6.5209557174850072"/>
    <n v="1.4784181040119075"/>
    <n v="1.2695931224958015E-2"/>
    <n v="91.898640825949073"/>
    <n v="853748.52"/>
    <n v="9684588.3399999999"/>
    <n v="10538336.859999999"/>
    <n v="516599.796875"/>
  </r>
  <r>
    <x v="21"/>
    <x v="3"/>
    <n v="48"/>
    <n v="24"/>
    <n v="2"/>
    <n v="2.19921875"/>
    <n v="2.19921875"/>
    <n v="3.5042882201306371"/>
    <n v="2.3061068691638296"/>
    <n v="1.160307960294102"/>
    <n v="1.5045526121284325E-2"/>
    <n v="96.495711779869367"/>
    <n v="370172.19"/>
    <n v="10193233.75"/>
    <n v="10563405.939999999"/>
    <n v="451959.83203125"/>
  </r>
  <r>
    <x v="22"/>
    <x v="0"/>
    <n v="48"/>
    <n v="24"/>
    <n v="2"/>
    <n v="3.0390625"/>
    <n v="3.0390625"/>
    <n v="5.9618783400184636"/>
    <n v="4.1356085899653419"/>
    <n v="1.7039446686605877"/>
    <n v="7.4836822414874049E-3"/>
    <n v="94.038121659981542"/>
    <n v="630867.43999999994"/>
    <n v="9950821.8200000003"/>
    <n v="10581689.26"/>
    <n v="516599.796875"/>
  </r>
  <r>
    <x v="22"/>
    <x v="1"/>
    <n v="48"/>
    <n v="24"/>
    <n v="2"/>
    <n v="7.5498046875"/>
    <n v="7.5498046875"/>
    <n v="7.8602023394304013"/>
    <n v="6.1420256845774892"/>
    <n v="1.6302645575192527"/>
    <n v="7.3923010947452251E-3"/>
    <n v="92.139797660569599"/>
    <n v="832443.61"/>
    <n v="9758169.3800000008"/>
    <n v="10590612.99"/>
    <n v="516599.796875"/>
  </r>
  <r>
    <x v="22"/>
    <x v="2"/>
    <n v="48"/>
    <n v="24"/>
    <n v="2"/>
    <n v="7.259765625"/>
    <n v="7.259765625"/>
    <n v="8.1593669543292542"/>
    <n v="6.5732188004977514"/>
    <n v="1.483315501034695"/>
    <n v="1.2693132684719414E-2"/>
    <n v="91.840633045670742"/>
    <n v="863342.38"/>
    <n v="9717654.7100000009"/>
    <n v="10580997.09"/>
    <n v="516599.796875"/>
  </r>
  <r>
    <x v="22"/>
    <x v="3"/>
    <n v="48"/>
    <n v="24"/>
    <n v="2"/>
    <n v="2.6298828125"/>
    <n v="2.6298828125"/>
    <n v="3.5079077118890929"/>
    <n v="2.3088704537822045"/>
    <n v="1.1610462229092013"/>
    <n v="1.5038734868300726E-2"/>
    <n v="96.492092288110911"/>
    <n v="372060.77"/>
    <n v="10234283.539999999"/>
    <n v="10606344.310000001"/>
    <n v="451959.83203125"/>
  </r>
  <r>
    <x v="23"/>
    <x v="0"/>
    <n v="48"/>
    <n v="24"/>
    <n v="2"/>
    <n v="3.4091796875"/>
    <n v="3.4091796875"/>
    <n v="5.9842955658370718"/>
    <n v="4.1525542108043627"/>
    <n v="1.7084310404474026"/>
    <n v="7.4774396333699049E-3"/>
    <n v="94.015704434162927"/>
    <n v="635793.02"/>
    <n v="9988565.5700000003"/>
    <n v="10624358.59"/>
    <n v="516599.796875"/>
  </r>
  <r>
    <x v="23"/>
    <x v="1"/>
    <n v="48"/>
    <n v="24"/>
    <n v="2"/>
    <n v="6.279296875"/>
    <n v="6.279296875"/>
    <n v="7.9184998970301983"/>
    <n v="6.1946319953430891"/>
    <n v="1.635098350096035"/>
    <n v="7.402713450955483E-3"/>
    <n v="92.081500102969798"/>
    <n v="841994.93"/>
    <n v="9791268.1999999993"/>
    <n v="10633263.130000001"/>
    <n v="516599.796875"/>
  </r>
  <r>
    <x v="23"/>
    <x v="2"/>
    <n v="48"/>
    <n v="24"/>
    <n v="2"/>
    <n v="8.8193359375"/>
    <n v="8.8193359375"/>
    <n v="8.2316562100425159"/>
    <n v="6.6388251855769314"/>
    <n v="1.4889358186411543"/>
    <n v="1.2680319958083471E-2"/>
    <n v="91.768343789957484"/>
    <n v="874500.52"/>
    <n v="9749127.3100000005"/>
    <n v="10623627.83"/>
    <n v="516599.796875"/>
  </r>
  <r>
    <x v="23"/>
    <x v="3"/>
    <n v="48"/>
    <n v="24"/>
    <n v="2"/>
    <n v="2.9892578125"/>
    <n v="2.9892578125"/>
    <n v="3.5110210821734187"/>
    <n v="2.3110712978347348"/>
    <n v="1.161821245673869"/>
    <n v="1.5047889726648143E-2"/>
    <n v="96.488978917826586"/>
    <n v="373898.02"/>
    <n v="10275369.279999999"/>
    <n v="10649267.300000001"/>
    <n v="451959.83203125"/>
  </r>
  <r>
    <x v="24"/>
    <x v="0"/>
    <n v="48"/>
    <n v="24"/>
    <n v="2"/>
    <n v="2.9296875"/>
    <n v="2.9296875"/>
    <n v="6.0036109627363006"/>
    <n v="4.1667948683585969"/>
    <n v="1.7125984865193458"/>
    <n v="7.4764386226860748E-3"/>
    <n v="93.996389037263697"/>
    <n v="640411.84"/>
    <n v="10026699.07"/>
    <n v="10667110.91"/>
    <n v="516599.796875"/>
  </r>
  <r>
    <x v="24"/>
    <x v="1"/>
    <n v="48"/>
    <n v="24"/>
    <n v="2"/>
    <n v="8.2890625"/>
    <n v="8.2890625"/>
    <n v="7.979115622396753"/>
    <n v="6.2493503466490941"/>
    <n v="1.6401122586003454"/>
    <n v="7.3971649425865508E-3"/>
    <n v="92.020884377603252"/>
    <n v="851848.95"/>
    <n v="9824133.0800000001"/>
    <n v="10675982.029999999"/>
    <n v="516599.796875"/>
  </r>
  <r>
    <x v="24"/>
    <x v="2"/>
    <n v="48"/>
    <n v="24"/>
    <n v="2"/>
    <n v="6.9296875"/>
    <n v="6.9296875"/>
    <n v="8.2982244752570029"/>
    <n v="6.6989484204999306"/>
    <n v="1.4943949012325386"/>
    <n v="1.2687599228454463E-2"/>
    <n v="91.701775524742999"/>
    <n v="885115.22"/>
    <n v="9781205.3000000007"/>
    <n v="10666320.52"/>
    <n v="516599.796875"/>
  </r>
  <r>
    <x v="24"/>
    <x v="3"/>
    <n v="48"/>
    <n v="24"/>
    <n v="2"/>
    <n v="2.0498046875"/>
    <n v="2.0498046875"/>
    <n v="3.5165710076085555"/>
    <n v="2.315448998232442"/>
    <n v="1.1628252967423085"/>
    <n v="1.5030513696410407E-2"/>
    <n v="96.483428992391438"/>
    <n v="376000.54"/>
    <n v="10316248.789999999"/>
    <n v="10692249.33"/>
    <n v="451959.83203125"/>
  </r>
  <r>
    <x v="25"/>
    <x v="0"/>
    <n v="48"/>
    <n v="24"/>
    <n v="2"/>
    <n v="2.939453125"/>
    <n v="2.939453125"/>
    <n v="6.0196007039738628"/>
    <n v="4.1788776528670279"/>
    <n v="1.7158209022242252"/>
    <n v="7.462926646183035E-3"/>
    <n v="93.980399296026135"/>
    <n v="644667.42000000004"/>
    <n v="10064804.050000001"/>
    <n v="10709471.470000001"/>
    <n v="516599.796875"/>
  </r>
  <r>
    <x v="25"/>
    <x v="1"/>
    <n v="48"/>
    <n v="24"/>
    <n v="2"/>
    <n v="8.939453125"/>
    <n v="8.939453125"/>
    <n v="8.0431237501362443"/>
    <n v="6.3080478787982406"/>
    <n v="1.6446416970351132"/>
    <n v="7.3929680921913567E-3"/>
    <n v="91.956876249863754"/>
    <n v="862085.59"/>
    <n v="9856207.6600000001"/>
    <n v="10718293.25"/>
    <n v="516599.796875"/>
  </r>
  <r>
    <x v="25"/>
    <x v="2"/>
    <n v="48"/>
    <n v="24"/>
    <n v="2"/>
    <n v="8.4599609375"/>
    <n v="8.4599609375"/>
    <n v="8.3521972407905736"/>
    <n v="6.7474984425353144"/>
    <n v="1.4990422213061954"/>
    <n v="1.2682285476934995E-2"/>
    <n v="91.647802759209426"/>
    <n v="894406.54"/>
    <n v="9814231.1300000008"/>
    <n v="10708637.67"/>
    <n v="516599.796875"/>
  </r>
  <r>
    <x v="25"/>
    <x v="3"/>
    <n v="48"/>
    <n v="24"/>
    <n v="2"/>
    <n v="1.859375"/>
    <n v="1.859375"/>
    <n v="3.5180410490394562"/>
    <n v="2.3165485577402469"/>
    <n v="1.1631424008690121"/>
    <n v="1.5017367113844391E-2"/>
    <n v="96.481958950960546"/>
    <n v="377656"/>
    <n v="10357181.789999999"/>
    <n v="10734837.789999999"/>
    <n v="451959.83203125"/>
  </r>
  <r>
    <x v="26"/>
    <x v="0"/>
    <n v="48"/>
    <n v="24"/>
    <n v="2"/>
    <n v="3.83984375"/>
    <n v="3.83984375"/>
    <n v="6.0416822780780919"/>
    <n v="4.1959895091910449"/>
    <n v="1.7199222115449477"/>
    <n v="7.4552525737871418E-3"/>
    <n v="93.958317721921915"/>
    <n v="649610.79"/>
    <n v="10102540.02"/>
    <n v="10752150.810000001"/>
    <n v="516599.796875"/>
  </r>
  <r>
    <x v="26"/>
    <x v="1"/>
    <n v="48"/>
    <n v="24"/>
    <n v="2"/>
    <n v="8.3994140625"/>
    <n v="8.3994140625"/>
    <n v="8.1101075938159362"/>
    <n v="6.3692116211516225"/>
    <n v="1.6496098263345385"/>
    <n v="7.3895012178770234E-3"/>
    <n v="91.88989240618406"/>
    <n v="872724.04"/>
    <n v="9888218.7699999996"/>
    <n v="10760942.810000001"/>
    <n v="516599.796875"/>
  </r>
  <r>
    <x v="26"/>
    <x v="2"/>
    <n v="48"/>
    <n v="24"/>
    <n v="2"/>
    <n v="8"/>
    <n v="8"/>
    <n v="8.406044538438957"/>
    <n v="6.7957620692833949"/>
    <n v="1.5038137043936379"/>
    <n v="1.2669484809226047E-2"/>
    <n v="91.593955461561038"/>
    <n v="903756.2"/>
    <n v="9847509.6999999993"/>
    <n v="10751265.9"/>
    <n v="516599.796875"/>
  </r>
  <r>
    <x v="26"/>
    <x v="3"/>
    <n v="48"/>
    <n v="24"/>
    <n v="2"/>
    <n v="2.3291015625"/>
    <n v="2.3291015625"/>
    <n v="3.520410341408835"/>
    <n v="2.3185758327250037"/>
    <n v="1.163434881611755"/>
    <n v="1.5010724509557965E-2"/>
    <n v="96.479589658591166"/>
    <n v="379421.41"/>
    <n v="10398339.51"/>
    <n v="10777760.92"/>
    <n v="451959.83203125"/>
  </r>
  <r>
    <x v="27"/>
    <x v="0"/>
    <n v="48"/>
    <n v="24"/>
    <n v="2"/>
    <n v="4.51953125"/>
    <n v="4.51953125"/>
    <n v="6.0633686402304958"/>
    <n v="4.2128404249489382"/>
    <n v="1.7239081400340879"/>
    <n v="7.4503867352860636E-3"/>
    <n v="93.936631359769507"/>
    <n v="654524.98"/>
    <n v="10140216.67"/>
    <n v="10794741.65"/>
    <n v="516599.796875"/>
  </r>
  <r>
    <x v="27"/>
    <x v="1"/>
    <n v="48"/>
    <n v="24"/>
    <n v="2"/>
    <n v="8.26953125"/>
    <n v="8.26953125"/>
    <n v="8.1764788430609574"/>
    <n v="6.4297984545459661"/>
    <n v="1.6545506035741897"/>
    <n v="7.4010135518531184E-3"/>
    <n v="91.823521156939037"/>
    <n v="883347.55"/>
    <n v="9920172.7300000004"/>
    <n v="10803520.279999999"/>
    <n v="516599.796875"/>
  </r>
  <r>
    <x v="27"/>
    <x v="2"/>
    <n v="48"/>
    <n v="24"/>
    <n v="2"/>
    <n v="7.919921875"/>
    <n v="7.919921875"/>
    <n v="8.4719656057372887"/>
    <n v="6.8530369652078278"/>
    <n v="1.5109491772245114"/>
    <n v="1.2654772709593585E-2"/>
    <n v="91.528034394262704"/>
    <n v="914446.45"/>
    <n v="9879346.7799999993"/>
    <n v="10793793.23"/>
    <n v="516599.796875"/>
  </r>
  <r>
    <x v="27"/>
    <x v="3"/>
    <n v="48"/>
    <n v="24"/>
    <n v="2"/>
    <n v="2.1591796875"/>
    <n v="2.1591796875"/>
    <n v="3.5227882690093857"/>
    <n v="2.3204214049159475"/>
    <n v="1.16389282933105"/>
    <n v="1.5003999302877262E-2"/>
    <n v="96.477211730990618"/>
    <n v="381188.53"/>
    <n v="10439459.800000001"/>
    <n v="10820648.33"/>
    <n v="451959.83203125"/>
  </r>
  <r>
    <x v="28"/>
    <x v="0"/>
    <n v="48"/>
    <n v="24"/>
    <n v="2"/>
    <n v="3.2890625"/>
    <n v="3.2890625"/>
    <n v="6.0819150290838078"/>
    <n v="4.2271569583287949"/>
    <n v="1.7274042508604646"/>
    <n v="7.4414057738416053E-3"/>
    <n v="93.918084970916198"/>
    <n v="659125.62"/>
    <n v="10178342.789999999"/>
    <n v="10837468.41"/>
    <n v="516599.796875"/>
  </r>
  <r>
    <x v="28"/>
    <x v="1"/>
    <n v="48"/>
    <n v="24"/>
    <n v="2"/>
    <n v="7.08984375"/>
    <n v="7.08984375"/>
    <n v="8.2378579331414805"/>
    <n v="6.4858910324828951"/>
    <n v="1.6590560859112211"/>
    <n v="7.3937876557844942E-3"/>
    <n v="91.762142066858516"/>
    <n v="893488.98"/>
    <n v="9952643.4399999995"/>
    <n v="10846132.42"/>
    <n v="516599.796875"/>
  </r>
  <r>
    <x v="28"/>
    <x v="2"/>
    <n v="48"/>
    <n v="24"/>
    <n v="2"/>
    <n v="7.859375"/>
    <n v="7.859375"/>
    <n v="8.5356905533056189"/>
    <n v="6.9099296722033019"/>
    <n v="1.5166776296686282"/>
    <n v="1.2652907840124463E-2"/>
    <n v="91.464309446694386"/>
    <n v="924961.77"/>
    <n v="9911440.5600000005"/>
    <n v="10836402.33"/>
    <n v="516599.796875"/>
  </r>
  <r>
    <x v="28"/>
    <x v="3"/>
    <n v="48"/>
    <n v="24"/>
    <n v="2"/>
    <n v="2.1298828125"/>
    <n v="2.1298828125"/>
    <n v="3.5250495655340877"/>
    <n v="2.322218333708975"/>
    <n v="1.1642911253937798"/>
    <n v="1.4989516989610934E-2"/>
    <n v="96.47495043446591"/>
    <n v="382947.01"/>
    <n v="10480645.199999999"/>
    <n v="10863592.210000001"/>
    <n v="451959.83203125"/>
  </r>
  <r>
    <x v="29"/>
    <x v="0"/>
    <n v="48"/>
    <n v="24"/>
    <n v="2"/>
    <n v="2.599609375"/>
    <n v="2.599609375"/>
    <n v="6.0976800213616089"/>
    <n v="4.2390655396803778"/>
    <n v="1.7305974758640899"/>
    <n v="7.4365009194629992E-3"/>
    <n v="93.902319978638388"/>
    <n v="663434.72"/>
    <n v="10216682.27"/>
    <n v="10880116.99"/>
    <n v="516599.796875"/>
  </r>
  <r>
    <x v="29"/>
    <x v="1"/>
    <n v="48"/>
    <n v="24"/>
    <n v="2"/>
    <n v="3.6796875"/>
    <n v="3.6796875"/>
    <n v="8.2584447588824297"/>
    <n v="6.50326302510455"/>
    <n v="1.6619167858804123"/>
    <n v="7.3952160858216601E-3"/>
    <n v="91.741555241117567"/>
    <n v="899245.21"/>
    <n v="9989550.8800000008"/>
    <n v="10888796.09"/>
    <n v="516599.796875"/>
  </r>
  <r>
    <x v="29"/>
    <x v="2"/>
    <n v="48"/>
    <n v="24"/>
    <n v="2"/>
    <n v="3.669921875"/>
    <n v="3.669921875"/>
    <n v="8.5536916021436777"/>
    <n v="6.9237380424150308"/>
    <n v="1.5203588829581203"/>
    <n v="1.2642852736740354E-2"/>
    <n v="91.446308397856328"/>
    <n v="930558.85"/>
    <n v="9948473.1899999995"/>
    <n v="10879032.039999999"/>
    <n v="516599.796875"/>
  </r>
  <r>
    <x v="29"/>
    <x v="3"/>
    <n v="48"/>
    <n v="24"/>
    <n v="2"/>
    <n v="1.859375"/>
    <n v="1.859375"/>
    <n v="3.5264912980992569"/>
    <n v="2.3232599946279726"/>
    <n v="1.1646339408810154"/>
    <n v="1.4990698433727091E-2"/>
    <n v="96.473508701900741"/>
    <n v="384616.65"/>
    <n v="10521879.85"/>
    <n v="10906496.5"/>
    <n v="451959.83203125"/>
  </r>
  <r>
    <x v="30"/>
    <x v="0"/>
    <n v="48"/>
    <n v="24"/>
    <n v="2"/>
    <n v="4.599609375"/>
    <n v="4.599609375"/>
    <n v="6.134913918102102"/>
    <n v="4.2720913643702811"/>
    <n v="1.7339699135822966"/>
    <n v="7.4302092540520252E-3"/>
    <n v="93.8650860818979"/>
    <n v="670106.93999999994"/>
    <n v="10252734.83"/>
    <n v="10922841.77"/>
    <n v="516599.796875"/>
  </r>
  <r>
    <x v="30"/>
    <x v="1"/>
    <n v="48"/>
    <n v="24"/>
    <n v="2"/>
    <n v="3.2392578125"/>
    <n v="3.2392578125"/>
    <n v="8.2846726158325286"/>
    <n v="6.5267398847911489"/>
    <n v="1.6642980339761682"/>
    <n v="7.3916496109335946E-3"/>
    <n v="91.715327384167466"/>
    <n v="905641.03"/>
    <n v="10025883.630000001"/>
    <n v="10931524.66"/>
    <n v="516599.796875"/>
  </r>
  <r>
    <x v="30"/>
    <x v="2"/>
    <n v="48"/>
    <n v="24"/>
    <n v="2"/>
    <n v="4.08984375"/>
    <n v="4.08984375"/>
    <n v="8.5815745246880066"/>
    <n v="6.9476539367962591"/>
    <n v="1.5237477077825432"/>
    <n v="1.2650575181914349E-2"/>
    <n v="91.418425475311992"/>
    <n v="937255.27"/>
    <n v="9984461.5700000003"/>
    <n v="10921716.84"/>
    <n v="516599.796875"/>
  </r>
  <r>
    <x v="30"/>
    <x v="3"/>
    <n v="48"/>
    <n v="24"/>
    <n v="2"/>
    <n v="3.0791015625"/>
    <n v="3.0791015625"/>
    <n v="3.5473853399670352"/>
    <n v="2.3428042452455049"/>
    <n v="1.1657413962347329"/>
    <n v="1.4973437095194338E-2"/>
    <n v="96.452614660032964"/>
    <n v="388417.05"/>
    <n v="10560972.789999999"/>
    <n v="10949389.84"/>
    <n v="451959.83203125"/>
  </r>
  <r>
    <x v="31"/>
    <x v="0"/>
    <n v="48"/>
    <n v="24"/>
    <n v="2"/>
    <n v="3.51953125"/>
    <n v="3.51953125"/>
    <n v="6.1494758909751921"/>
    <n v="4.2865848797313406"/>
    <n v="1.7339333336635145"/>
    <n v="7.4340910129043029E-3"/>
    <n v="93.850524109024803"/>
    <n v="674332.98"/>
    <n v="10291365.43"/>
    <n v="10965698.41"/>
    <n v="516599.796875"/>
  </r>
  <r>
    <x v="31"/>
    <x v="1"/>
    <n v="48"/>
    <n v="24"/>
    <n v="2"/>
    <n v="3.01953125"/>
    <n v="3.01953125"/>
    <n v="8.284124728969422"/>
    <n v="6.527274003690553"/>
    <n v="1.663320680577383"/>
    <n v="7.3987220316652875E-3"/>
    <n v="91.715875271030583"/>
    <n v="909138.19"/>
    <n v="10065324.65"/>
    <n v="10974462.84"/>
    <n v="516599.796875"/>
  </r>
  <r>
    <x v="31"/>
    <x v="2"/>
    <n v="48"/>
    <n v="24"/>
    <n v="2"/>
    <n v="2.419921875"/>
    <n v="2.419921875"/>
    <n v="8.5836553353974221"/>
    <n v="6.9498235744427195"/>
    <n v="1.523694942377736"/>
    <n v="1.2643915663784705E-2"/>
    <n v="91.416344664602576"/>
    <n v="941160.23"/>
    <n v="10023401.99"/>
    <n v="10964562.220000001"/>
    <n v="516599.796875"/>
  </r>
  <r>
    <x v="31"/>
    <x v="3"/>
    <n v="48"/>
    <n v="24"/>
    <n v="2"/>
    <n v="2.5390625"/>
    <n v="2.5390625"/>
    <n v="3.5623798953180441"/>
    <n v="2.3574253255315982"/>
    <n v="1.1659799120282528"/>
    <n v="1.4967719773857323E-2"/>
    <n v="96.437620104681955"/>
    <n v="391588.28"/>
    <n v="10600734.029999999"/>
    <n v="10992322.310000001"/>
    <n v="451959.83203125"/>
  </r>
  <r>
    <x v="32"/>
    <x v="0"/>
    <n v="48"/>
    <n v="24"/>
    <n v="2"/>
    <n v="3.5595703125"/>
    <n v="3.5595703125"/>
    <n v="6.1831295702373028"/>
    <n v="4.313144792003488"/>
    <n v="1.739762439068991"/>
    <n v="7.4321534954308582E-3"/>
    <n v="93.816870429762702"/>
    <n v="680654.33"/>
    <n v="10327595.17"/>
    <n v="11008249.5"/>
    <n v="516599.796875"/>
  </r>
  <r>
    <x v="32"/>
    <x v="1"/>
    <n v="48"/>
    <n v="24"/>
    <n v="2"/>
    <n v="2.5791015625"/>
    <n v="2.5791015625"/>
    <n v="8.2755283404337163"/>
    <n v="6.5196322338809312"/>
    <n v="1.6624801580388975"/>
    <n v="7.4003219152740368E-3"/>
    <n v="91.724471659566277"/>
    <n v="911744.63"/>
    <n v="10105613.93"/>
    <n v="11017358.560000001"/>
    <n v="516599.796875"/>
  </r>
  <r>
    <x v="32"/>
    <x v="2"/>
    <n v="48"/>
    <n v="24"/>
    <n v="2"/>
    <n v="3.3193359375"/>
    <n v="3.3193359375"/>
    <n v="8.5763703339497539"/>
    <n v="6.9427545099347627"/>
    <n v="1.5235541596212565"/>
    <n v="1.2645833090750761E-2"/>
    <n v="91.423629666050246"/>
    <n v="944037.13"/>
    <n v="10063383.18"/>
    <n v="11007420.310000001"/>
    <n v="516599.796875"/>
  </r>
  <r>
    <x v="32"/>
    <x v="3"/>
    <n v="48"/>
    <n v="24"/>
    <n v="2"/>
    <n v="1.8193359375"/>
    <n v="1.8193359375"/>
    <n v="3.5635074650868073"/>
    <n v="2.3588141607569915"/>
    <n v="1.1657170305322913"/>
    <n v="1.4955582127690875E-2"/>
    <n v="96.436492534913199"/>
    <n v="393242.94"/>
    <n v="10642034.630000001"/>
    <n v="11035277.57"/>
    <n v="451959.83203125"/>
  </r>
  <r>
    <x v="33"/>
    <x v="0"/>
    <n v="48"/>
    <n v="24"/>
    <n v="2"/>
    <n v="2.349609375"/>
    <n v="2.349609375"/>
    <n v="6.2071225464091233"/>
    <n v="4.3336385275270919"/>
    <n v="1.7424797646482104"/>
    <n v="7.4347067248808577E-3"/>
    <n v="93.792877453590876"/>
    <n v="685949.58"/>
    <n v="10365057.949999999"/>
    <n v="11051007.529999999"/>
    <n v="516599.796875"/>
  </r>
  <r>
    <x v="33"/>
    <x v="1"/>
    <n v="48"/>
    <n v="24"/>
    <n v="2"/>
    <n v="2.0595703125"/>
    <n v="2.0595703125"/>
    <n v="8.2639570972904099"/>
    <n v="6.5092294650746876"/>
    <n v="1.6614340901044495"/>
    <n v="7.3921396688819791E-3"/>
    <n v="91.736042902709585"/>
    <n v="914015.29"/>
    <n v="10146246.51"/>
    <n v="11060261.800000001"/>
    <n v="516599.796875"/>
  </r>
  <r>
    <x v="33"/>
    <x v="2"/>
    <n v="48"/>
    <n v="24"/>
    <n v="2"/>
    <n v="2.349609375"/>
    <n v="2.349609375"/>
    <n v="8.5619652634951429"/>
    <n v="6.9292278987668157"/>
    <n v="1.5228359829122284"/>
    <n v="1.2652951724530018E-2"/>
    <n v="91.438034736504861"/>
    <n v="946123.44"/>
    <n v="10104183.48"/>
    <n v="11050306.92"/>
    <n v="516599.796875"/>
  </r>
  <r>
    <x v="33"/>
    <x v="3"/>
    <n v="48"/>
    <n v="24"/>
    <n v="2"/>
    <n v="2.58984375"/>
    <n v="2.58984375"/>
    <n v="3.5633036731757333"/>
    <n v="2.3586879926874218"/>
    <n v="1.165654377596014"/>
    <n v="1.494288543959397E-2"/>
    <n v="96.436696326824261"/>
    <n v="394751.64"/>
    <n v="10683496.98"/>
    <n v="11078248.619999999"/>
    <n v="451959.83203125"/>
  </r>
  <r>
    <x v="34"/>
    <x v="0"/>
    <n v="48"/>
    <n v="24"/>
    <n v="2"/>
    <n v="2.3896484375"/>
    <n v="2.3896484375"/>
    <n v="6.1952915059585028"/>
    <n v="4.3246024561469598"/>
    <n v="1.7400825538812528"/>
    <n v="7.4245664481534654E-3"/>
    <n v="93.804708494041492"/>
    <n v="687304.47"/>
    <n v="10406676.65"/>
    <n v="11093981.119999999"/>
    <n v="516599.796875"/>
  </r>
  <r>
    <x v="34"/>
    <x v="1"/>
    <n v="48"/>
    <n v="24"/>
    <n v="2"/>
    <n v="2.029296875"/>
    <n v="2.029296875"/>
    <n v="8.2432645578674819"/>
    <n v="6.491198728432976"/>
    <n v="1.6590737276347882"/>
    <n v="7.384306918490356E-3"/>
    <n v="91.756735442132523"/>
    <n v="915272.44"/>
    <n v="10188003.859999999"/>
    <n v="11103276.300000001"/>
    <n v="516599.796875"/>
  </r>
  <r>
    <x v="34"/>
    <x v="2"/>
    <n v="48"/>
    <n v="24"/>
    <n v="2"/>
    <n v="1.9296875"/>
    <n v="1.9296875"/>
    <n v="8.5472033448917895"/>
    <n v="6.9162045737182503"/>
    <n v="1.5213745569434529"/>
    <n v="1.2650674418633937E-2"/>
    <n v="91.452796655108216"/>
    <n v="948162"/>
    <n v="10145080.57"/>
    <n v="11093242.57"/>
    <n v="516599.796875"/>
  </r>
  <r>
    <x v="34"/>
    <x v="3"/>
    <n v="48"/>
    <n v="24"/>
    <n v="2"/>
    <n v="2.419921875"/>
    <n v="2.419921875"/>
    <n v="3.5636059409855849"/>
    <n v="2.3596463101916223"/>
    <n v="1.1650589994796543"/>
    <n v="1.4941563586087118E-2"/>
    <n v="96.436394059014418"/>
    <n v="396317.85"/>
    <n v="10724941.25"/>
    <n v="11121259.1"/>
    <n v="451959.83203125"/>
  </r>
  <r>
    <x v="35"/>
    <x v="0"/>
    <n v="48"/>
    <n v="24"/>
    <n v="2"/>
    <n v="2.25"/>
    <n v="2.25"/>
    <n v="6.1840043326806535"/>
    <n v="4.3162249027291111"/>
    <n v="1.7375870493921786"/>
    <n v="7.4262652542077647E-3"/>
    <n v="93.815995667319342"/>
    <n v="688709.93"/>
    <n v="10448247.5"/>
    <n v="11136957.43"/>
    <n v="516599.796875"/>
  </r>
  <r>
    <x v="35"/>
    <x v="1"/>
    <n v="48"/>
    <n v="24"/>
    <n v="2"/>
    <n v="1.5791015625"/>
    <n v="1.5791015625"/>
    <n v="8.2231406907960043"/>
    <n v="6.4736902963824603"/>
    <n v="1.6567490825680937"/>
    <n v="7.3783273660490596E-3"/>
    <n v="91.776859309203999"/>
    <n v="916575.37"/>
    <n v="10229717.810000001"/>
    <n v="11146293.18"/>
    <n v="516599.796875"/>
  </r>
  <r>
    <x v="35"/>
    <x v="2"/>
    <n v="48"/>
    <n v="24"/>
    <n v="2"/>
    <n v="2.279296875"/>
    <n v="2.279296875"/>
    <n v="8.5283123178415554"/>
    <n v="6.8992977852425614"/>
    <n v="1.5197080508991689"/>
    <n v="1.2648208694177312E-2"/>
    <n v="91.471687682158446"/>
    <n v="949730.04"/>
    <n v="10186471.41"/>
    <n v="11136201.449999999"/>
    <n v="516599.796875"/>
  </r>
  <r>
    <x v="35"/>
    <x v="3"/>
    <n v="48"/>
    <n v="24"/>
    <n v="2"/>
    <n v="1.529296875"/>
    <n v="1.529296875"/>
    <n v="3.5595853303542913"/>
    <n v="2.3564712721912016"/>
    <n v="1.1642812570126317"/>
    <n v="1.4929856826496838E-2"/>
    <n v="96.440414669645705"/>
    <n v="397401.83"/>
    <n v="10766871.34"/>
    <n v="11164273.17"/>
    <n v="451959.83203125"/>
  </r>
  <r>
    <x v="36"/>
    <x v="0"/>
    <n v="48"/>
    <n v="24"/>
    <n v="2"/>
    <n v="2.119140625"/>
    <n v="2.119140625"/>
    <n v="6.1726396936650705"/>
    <n v="4.3077319554049716"/>
    <n v="1.7351178715713749"/>
    <n v="7.436901283952151E-3"/>
    <n v="93.827360306334924"/>
    <n v="690096.5"/>
    <n v="10489828.689999999"/>
    <n v="11179925.189999999"/>
    <n v="516599.796875"/>
  </r>
  <r>
    <x v="36"/>
    <x v="1"/>
    <n v="48"/>
    <n v="24"/>
    <n v="2"/>
    <n v="2.109375"/>
    <n v="2.109375"/>
    <n v="8.2026777763074854"/>
    <n v="6.4558070413600728"/>
    <n v="1.6544631688065041"/>
    <n v="7.3805259059095745E-3"/>
    <n v="91.797322223692518"/>
    <n v="917823.13"/>
    <n v="10271487.91"/>
    <n v="11189311.039999999"/>
    <n v="516599.796875"/>
  </r>
  <r>
    <x v="36"/>
    <x v="2"/>
    <n v="48"/>
    <n v="24"/>
    <n v="2"/>
    <n v="2.44921875"/>
    <n v="2.44921875"/>
    <n v="8.5094695795417916"/>
    <n v="6.8821613612457746"/>
    <n v="1.5183193325127957"/>
    <n v="1.2677330502558419E-2"/>
    <n v="91.490530420458214"/>
    <n v="951287.85"/>
    <n v="10227879.560000001"/>
    <n v="11179167.41"/>
    <n v="516599.796875"/>
  </r>
  <r>
    <x v="36"/>
    <x v="3"/>
    <n v="48"/>
    <n v="24"/>
    <n v="2"/>
    <n v="1.7890625"/>
    <n v="1.7890625"/>
    <n v="3.5548323747147066"/>
    <n v="2.3526393384504201"/>
    <n v="1.1634439058383952"/>
    <n v="1.4925990189680586E-2"/>
    <n v="96.445167625285293"/>
    <n v="398400.61"/>
    <n v="10808896.050000001"/>
    <n v="11207296.66"/>
    <n v="451959.83203125"/>
  </r>
  <r>
    <x v="37"/>
    <x v="0"/>
    <n v="48"/>
    <n v="24"/>
    <n v="2"/>
    <n v="2.5390625"/>
    <n v="2.5390625"/>
    <n v="6.1617106740499885"/>
    <n v="4.2996642245764267"/>
    <n v="1.7326580764902242"/>
    <n v="7.4325748512546769E-3"/>
    <n v="93.838289325950015"/>
    <n v="691522.26"/>
    <n v="10531371.779999999"/>
    <n v="11222894.039999999"/>
    <n v="516599.796875"/>
  </r>
  <r>
    <x v="37"/>
    <x v="1"/>
    <n v="48"/>
    <n v="24"/>
    <n v="2"/>
    <n v="2.1796875"/>
    <n v="2.1796875"/>
    <n v="8.1821251845852423"/>
    <n v="6.4377452132236792"/>
    <n v="1.6522614568919678"/>
    <n v="7.3754104737144425E-3"/>
    <n v="91.817874815414754"/>
    <n v="919042.81"/>
    <n v="10313281.18"/>
    <n v="11232323.99"/>
    <n v="516599.796875"/>
  </r>
  <r>
    <x v="37"/>
    <x v="2"/>
    <n v="48"/>
    <n v="24"/>
    <n v="2"/>
    <n v="2.369140625"/>
    <n v="2.369140625"/>
    <n v="8.490365854325665"/>
    <n v="6.8649957740004899"/>
    <n v="1.5166877985875034"/>
    <n v="1.2685577316262631E-2"/>
    <n v="91.50963414567434"/>
    <n v="952798.57"/>
    <n v="10269315.84"/>
    <n v="11222114.41"/>
    <n v="516599.796875"/>
  </r>
  <r>
    <x v="37"/>
    <x v="3"/>
    <n v="48"/>
    <n v="24"/>
    <n v="2"/>
    <n v="2.2197265625"/>
    <n v="2.2197265625"/>
    <n v="3.5508468020975652"/>
    <n v="2.349512737639349"/>
    <n v="1.1626504432280458"/>
    <n v="1.4929357154751665E-2"/>
    <n v="96.449153197902433"/>
    <n v="399481.52"/>
    <n v="10850835.439999999"/>
    <n v="11250316.960000001"/>
    <n v="451959.83203125"/>
  </r>
  <r>
    <x v="38"/>
    <x v="0"/>
    <n v="48"/>
    <n v="24"/>
    <n v="2"/>
    <n v="2.279296875"/>
    <n v="2.279296875"/>
    <n v="6.1499872101879891"/>
    <n v="4.2907078499148961"/>
    <n v="1.7302920221954163"/>
    <n v="7.4364357367492483E-3"/>
    <n v="93.850012789812013"/>
    <n v="692850.24"/>
    <n v="10573030.75"/>
    <n v="11265880.99"/>
    <n v="516599.796875"/>
  </r>
  <r>
    <x v="38"/>
    <x v="1"/>
    <n v="48"/>
    <n v="24"/>
    <n v="2"/>
    <n v="1.9892578125"/>
    <n v="1.9892578125"/>
    <n v="8.1624094453722442"/>
    <n v="6.4205007355985462"/>
    <n v="1.6500708725746605"/>
    <n v="7.3666059833618789E-3"/>
    <n v="91.837590554627752"/>
    <n v="920339.56"/>
    <n v="10355002.189999999"/>
    <n v="11275341.75"/>
    <n v="516599.796875"/>
  </r>
  <r>
    <x v="38"/>
    <x v="2"/>
    <n v="48"/>
    <n v="24"/>
    <n v="2"/>
    <n v="2.4296875"/>
    <n v="2.4296875"/>
    <n v="8.4714234544394049"/>
    <n v="6.847845539820467"/>
    <n v="1.5151965147698467"/>
    <n v="1.269809148097821E-2"/>
    <n v="91.528576545560597"/>
    <n v="954312.52"/>
    <n v="10310766.189999999"/>
    <n v="11265078.710000001"/>
    <n v="516599.796875"/>
  </r>
  <r>
    <x v="38"/>
    <x v="3"/>
    <n v="48"/>
    <n v="24"/>
    <n v="2"/>
    <n v="1.6396484375"/>
    <n v="1.6396484375"/>
    <n v="3.5477995883308848"/>
    <n v="2.3471531830533996"/>
    <n v="1.162011787776319"/>
    <n v="1.4935204004205159E-2"/>
    <n v="96.452200411669111"/>
    <n v="400664.27"/>
    <n v="10892653.18"/>
    <n v="11293317.449999999"/>
    <n v="451959.83203125"/>
  </r>
  <r>
    <x v="39"/>
    <x v="0"/>
    <n v="48"/>
    <n v="24"/>
    <n v="2"/>
    <n v="2.4296875"/>
    <n v="2.4296875"/>
    <n v="6.138956509124772"/>
    <n v="4.2824644900685556"/>
    <n v="1.7278960277535658"/>
    <n v="7.4278098193548336E-3"/>
    <n v="93.861043490875232"/>
    <n v="694245.49"/>
    <n v="10614606.25"/>
    <n v="11308851.74"/>
    <n v="516599.796875"/>
  </r>
  <r>
    <x v="39"/>
    <x v="1"/>
    <n v="48"/>
    <n v="24"/>
    <n v="2"/>
    <n v="2.2197265625"/>
    <n v="2.2197265625"/>
    <n v="8.1430411088866936"/>
    <n v="6.4036530746593856"/>
    <n v="1.6478351806869529"/>
    <n v="7.3615870941752277E-3"/>
    <n v="91.856958891113308"/>
    <n v="921657.68"/>
    <n v="10396689.699999999"/>
    <n v="11318347.380000001"/>
    <n v="516599.796875"/>
  </r>
  <r>
    <x v="39"/>
    <x v="2"/>
    <n v="48"/>
    <n v="24"/>
    <n v="2"/>
    <n v="2.6591796875"/>
    <n v="2.6591796875"/>
    <n v="8.4533768040507518"/>
    <n v="6.8315759560805702"/>
    <n v="1.5137064428222833"/>
    <n v="1.2692128843599928E-2"/>
    <n v="91.546623195949252"/>
    <n v="955910.56"/>
    <n v="10352121.51"/>
    <n v="11308032.07"/>
    <n v="516599.796875"/>
  </r>
  <r>
    <x v="39"/>
    <x v="3"/>
    <n v="48"/>
    <n v="24"/>
    <n v="2"/>
    <n v="2.1796875"/>
    <n v="2.1796875"/>
    <n v="3.5448431332928214"/>
    <n v="2.3449491325941634"/>
    <n v="1.161321229981898"/>
    <n v="1.4930922755663883E-2"/>
    <n v="96.455156866707185"/>
    <n v="401855.43"/>
    <n v="10934483.439999999"/>
    <n v="11336338.869999999"/>
    <n v="451959.83203125"/>
  </r>
  <r>
    <x v="40"/>
    <x v="0"/>
    <n v="48"/>
    <n v="24"/>
    <n v="2"/>
    <n v="4.0693359375"/>
    <n v="4.0693359375"/>
    <n v="6.1461895819253884"/>
    <n v="4.2856323661401925"/>
    <n v="1.7320459232537071"/>
    <n v="7.4704938156035412E-3"/>
    <n v="93.853810418074616"/>
    <n v="697698.61"/>
    <n v="10654027.539999999"/>
    <n v="11351726.15"/>
    <n v="516599.796875"/>
  </r>
  <r>
    <x v="40"/>
    <x v="1"/>
    <n v="48"/>
    <n v="24"/>
    <n v="2"/>
    <n v="3.1796875"/>
    <n v="3.1796875"/>
    <n v="8.1343938900701662"/>
    <n v="6.3920071314121554"/>
    <n v="1.6509896035992475"/>
    <n v="7.388175890566338E-3"/>
    <n v="91.865606109929828"/>
    <n v="924169.78"/>
    <n v="10437091.949999999"/>
    <n v="11361261.73"/>
    <n v="516599.796875"/>
  </r>
  <r>
    <x v="40"/>
    <x v="2"/>
    <n v="48"/>
    <n v="24"/>
    <n v="2"/>
    <n v="2.119140625"/>
    <n v="2.119140625"/>
    <n v="8.4387192300701592"/>
    <n v="6.8177763868943622"/>
    <n v="1.5130329318288656"/>
    <n v="1.2686888419294728E-2"/>
    <n v="91.561280769929837"/>
    <n v="957873.23"/>
    <n v="10393058.16"/>
    <n v="11350931.390000001"/>
    <n v="516599.796875"/>
  </r>
  <r>
    <x v="40"/>
    <x v="3"/>
    <n v="48"/>
    <n v="24"/>
    <n v="2"/>
    <n v="3.009765625"/>
    <n v="3.009765625"/>
    <n v="3.5466319055525628"/>
    <n v="2.3429735051127492"/>
    <n v="1.1651430962301885"/>
    <n v="1.4979540861417005E-2"/>
    <n v="96.453368094447441"/>
    <n v="403582.62"/>
    <n v="10975738.119999999"/>
    <n v="11379320.74"/>
    <n v="451959.83203125"/>
  </r>
  <r>
    <x v="41"/>
    <x v="0"/>
    <n v="48"/>
    <n v="24"/>
    <n v="2"/>
    <n v="4.369140625"/>
    <n v="4.369140625"/>
    <n v="6.1506042143277746"/>
    <n v="4.2857390304178651"/>
    <n v="1.736662870904528"/>
    <n v="7.5459122131006466E-3"/>
    <n v="93.849395785672229"/>
    <n v="700839.59"/>
    <n v="10693806.619999999"/>
    <n v="11394646.210000001"/>
    <n v="516599.796875"/>
  </r>
  <r>
    <x v="41"/>
    <x v="1"/>
    <n v="48"/>
    <n v="24"/>
    <n v="2"/>
    <n v="2.9697265625"/>
    <n v="2.9697265625"/>
    <n v="8.122587053893179"/>
    <n v="6.3764424867423175"/>
    <n v="1.6550134384618231"/>
    <n v="7.4180180891120513E-3"/>
    <n v="91.877412946106816"/>
    <n v="926320.87"/>
    <n v="10477938.189999999"/>
    <n v="11404259.060000001"/>
    <n v="516599.796875"/>
  </r>
  <r>
    <x v="41"/>
    <x v="2"/>
    <n v="48"/>
    <n v="24"/>
    <n v="2"/>
    <n v="2.349609375"/>
    <n v="2.349609375"/>
    <n v="8.4198395704641715"/>
    <n v="6.800659292489085"/>
    <n v="1.5115559288260938"/>
    <n v="1.2681807293796716E-2"/>
    <n v="91.580160429535823"/>
    <n v="959346.48"/>
    <n v="10434534.27"/>
    <n v="11393880.75"/>
    <n v="516599.796875"/>
  </r>
  <r>
    <x v="41"/>
    <x v="3"/>
    <n v="48"/>
    <n v="24"/>
    <n v="2"/>
    <n v="3.359375"/>
    <n v="3.359375"/>
    <n v="3.5511017544436667"/>
    <n v="2.3417437684485471"/>
    <n v="1.1708930708408081"/>
    <n v="1.5072526704217749E-2"/>
    <n v="96.448898245556336"/>
    <n v="405617.68"/>
    <n v="11016687.51"/>
    <n v="11422305.189999999"/>
    <n v="451959.83203125"/>
  </r>
  <r>
    <x v="42"/>
    <x v="0"/>
    <n v="48"/>
    <n v="24"/>
    <n v="2"/>
    <n v="3.7197265625"/>
    <n v="3.7197265625"/>
    <n v="6.1550726517351988"/>
    <n v="4.2857274228863371"/>
    <n v="1.7414034743264657"/>
    <n v="7.6212084935829653E-3"/>
    <n v="93.844927348264804"/>
    <n v="703989.89"/>
    <n v="10733566.25"/>
    <n v="11437556.140000001"/>
    <n v="516599.796875"/>
  </r>
  <r>
    <x v="42"/>
    <x v="1"/>
    <n v="48"/>
    <n v="24"/>
    <n v="2"/>
    <n v="3.08984375"/>
    <n v="3.08984375"/>
    <n v="8.1117223193742714"/>
    <n v="6.3616490592094612"/>
    <n v="1.6591951975069243"/>
    <n v="7.4453682791461653E-3"/>
    <n v="91.888277680625734"/>
    <n v="928569.22"/>
    <n v="10518681.85"/>
    <n v="11447251.07"/>
    <n v="516599.796875"/>
  </r>
  <r>
    <x v="42"/>
    <x v="2"/>
    <n v="48"/>
    <n v="24"/>
    <n v="2"/>
    <n v="2.279296875"/>
    <n v="2.279296875"/>
    <n v="8.4016014477776917"/>
    <n v="6.7841764403646945"/>
    <n v="1.510083369847284"/>
    <n v="1.2677629121945958E-2"/>
    <n v="91.598398552222307"/>
    <n v="960877.61"/>
    <n v="10475961.140000001"/>
    <n v="11436838.75"/>
    <n v="516599.796875"/>
  </r>
  <r>
    <x v="42"/>
    <x v="3"/>
    <n v="48"/>
    <n v="24"/>
    <n v="2"/>
    <n v="2.619140625"/>
    <n v="2.619140625"/>
    <n v="3.5559862809072387"/>
    <n v="2.3409795658891248"/>
    <n v="1.176593678824859"/>
    <n v="1.5182419441565754E-2"/>
    <n v="96.444013719092766"/>
    <n v="407704.51"/>
    <n v="11057595.91"/>
    <n v="11465300.42"/>
    <n v="451959.83203125"/>
  </r>
  <r>
    <x v="43"/>
    <x v="0"/>
    <n v="48"/>
    <n v="24"/>
    <n v="2"/>
    <n v="2.9697265625"/>
    <n v="2.9697265625"/>
    <n v="6.1587924128573697"/>
    <n v="4.2855605601940727"/>
    <n v="1.745611847262879"/>
    <n v="7.6914898292023857E-3"/>
    <n v="93.841207587142634"/>
    <n v="707058.97"/>
    <n v="10773421.66"/>
    <n v="11480480.630000001"/>
    <n v="516599.796875"/>
  </r>
  <r>
    <x v="43"/>
    <x v="1"/>
    <n v="48"/>
    <n v="24"/>
    <n v="2"/>
    <n v="3.349609375"/>
    <n v="3.349609375"/>
    <n v="8.1032190793728578"/>
    <n v="6.349094365957086"/>
    <n v="1.6634962234453596"/>
    <n v="7.4861802982061415E-3"/>
    <n v="91.896780920627137"/>
    <n v="931079.23"/>
    <n v="10559159.66"/>
    <n v="11490238.890000001"/>
    <n v="516599.796875"/>
  </r>
  <r>
    <x v="43"/>
    <x v="2"/>
    <n v="48"/>
    <n v="24"/>
    <n v="2"/>
    <n v="2.4892578125"/>
    <n v="2.4892578125"/>
    <n v="8.3845483133704839"/>
    <n v="6.7686953654669546"/>
    <n v="1.5087764501054473"/>
    <n v="1.2698738117441025E-2"/>
    <n v="91.615451686629513"/>
    <n v="962529.55"/>
    <n v="10517272.51"/>
    <n v="11479802.060000001"/>
    <n v="516599.796875"/>
  </r>
  <r>
    <x v="43"/>
    <x v="3"/>
    <n v="48"/>
    <n v="24"/>
    <n v="2"/>
    <n v="3.2197265625"/>
    <n v="3.2197265625"/>
    <n v="3.5614540065767022"/>
    <n v="2.3408279282692583"/>
    <n v="1.1822549183293931"/>
    <n v="1.5286647622022902E-2"/>
    <n v="96.438545993423304"/>
    <n v="409862.05"/>
    <n v="11098416.57"/>
    <n v="11508278.619999999"/>
    <n v="451959.83203125"/>
  </r>
  <r>
    <x v="44"/>
    <x v="0"/>
    <n v="48"/>
    <n v="24"/>
    <n v="2"/>
    <n v="4.2890625"/>
    <n v="4.2890625"/>
    <n v="6.1631641043546503"/>
    <n v="4.2855973719446805"/>
    <n v="1.750200990566396"/>
    <n v="7.7600434474264547E-3"/>
    <n v="93.836835895645351"/>
    <n v="710205.38"/>
    <n v="10813183.710000001"/>
    <n v="11523389.09"/>
    <n v="516599.796875"/>
  </r>
  <r>
    <x v="44"/>
    <x v="1"/>
    <n v="48"/>
    <n v="24"/>
    <n v="2"/>
    <n v="3.1591796875"/>
    <n v="3.1591796875"/>
    <n v="8.0932833907925552"/>
    <n v="6.3351386911921894"/>
    <n v="1.66774680528002"/>
    <n v="7.5195016459561701E-3"/>
    <n v="91.90671660920745"/>
    <n v="933415.46"/>
    <n v="10599795.66"/>
    <n v="11533211.119999999"/>
    <n v="516599.796875"/>
  </r>
  <r>
    <x v="44"/>
    <x v="2"/>
    <n v="48"/>
    <n v="24"/>
    <n v="2"/>
    <n v="2.33984375"/>
    <n v="2.33984375"/>
    <n v="8.3703163232609139"/>
    <n v="6.7554623327243597"/>
    <n v="1.5079853729621564"/>
    <n v="1.2726250287049231E-2"/>
    <n v="91.629683676739091"/>
    <n v="964487.99"/>
    <n v="10558230.539999999"/>
    <n v="11522718.529999999"/>
    <n v="516599.796875"/>
  </r>
  <r>
    <x v="44"/>
    <x v="3"/>
    <n v="48"/>
    <n v="24"/>
    <n v="2"/>
    <n v="2.8291015625"/>
    <n v="2.8291015625"/>
    <n v="3.5656895803102935"/>
    <n v="2.3395517805888022"/>
    <n v="1.1878167812769178"/>
    <n v="1.5384989955847894E-2"/>
    <n v="96.434310419689709"/>
    <n v="411882.03"/>
    <n v="11139376.73"/>
    <n v="11551258.76"/>
    <n v="451959.83203125"/>
  </r>
  <r>
    <x v="45"/>
    <x v="0"/>
    <n v="48"/>
    <n v="24"/>
    <n v="2"/>
    <n v="3.2890625"/>
    <n v="3.2890625"/>
    <n v="6.160746279179917"/>
    <n v="4.2796725933879056"/>
    <n v="1.7540673968547993"/>
    <n v="7.8219207694214341E-3"/>
    <n v="93.839253720820082"/>
    <n v="712572.9"/>
    <n v="10853767.73"/>
    <n v="11566340.630000001"/>
    <n v="516599.796875"/>
  </r>
  <r>
    <x v="45"/>
    <x v="1"/>
    <n v="48"/>
    <n v="24"/>
    <n v="2"/>
    <n v="2.6396484375"/>
    <n v="2.6396484375"/>
    <n v="8.0811661164802313"/>
    <n v="6.3195070881712017"/>
    <n v="1.6715305848721753"/>
    <n v="7.544263819590352E-3"/>
    <n v="91.918833883519767"/>
    <n v="935492.95"/>
    <n v="10640719.4"/>
    <n v="11576212.35"/>
    <n v="516599.796875"/>
  </r>
  <r>
    <x v="45"/>
    <x v="2"/>
    <n v="48"/>
    <n v="24"/>
    <n v="2"/>
    <n v="2.08984375"/>
    <n v="2.08984375"/>
    <n v="8.3515544882044441"/>
    <n v="6.7385469536102098"/>
    <n v="1.5064311975745068"/>
    <n v="1.2728076328187137E-2"/>
    <n v="91.648445511795558"/>
    <n v="965915"/>
    <n v="10599776.17"/>
    <n v="11565691.17"/>
    <n v="516599.796875"/>
  </r>
  <r>
    <x v="45"/>
    <x v="3"/>
    <n v="48"/>
    <n v="24"/>
    <n v="2"/>
    <n v="2.9091796875"/>
    <n v="2.9091796875"/>
    <n v="3.5696040508861104"/>
    <n v="2.3380603516965848"/>
    <n v="1.1932752778840514"/>
    <n v="1.548524965671136E-2"/>
    <n v="96.430395949113887"/>
    <n v="413869.15"/>
    <n v="11180390.16"/>
    <n v="11594259.310000001"/>
    <n v="451959.83203125"/>
  </r>
  <r>
    <x v="46"/>
    <x v="0"/>
    <n v="48"/>
    <n v="24"/>
    <n v="2"/>
    <n v="2.9794921875"/>
    <n v="2.9794921875"/>
    <n v="6.1568319667803326"/>
    <n v="4.2724755379193091"/>
    <n v="1.7577231032692093"/>
    <n v="7.8859151146538978E-3"/>
    <n v="93.843168033219669"/>
    <n v="714765.45"/>
    <n v="10894540.34"/>
    <n v="11609305.789999999"/>
    <n v="516599.796875"/>
  </r>
  <r>
    <x v="46"/>
    <x v="1"/>
    <n v="48"/>
    <n v="24"/>
    <n v="2"/>
    <n v="2.9892578125"/>
    <n v="2.9892578125"/>
    <n v="8.0694011769373937"/>
    <n v="6.3040904465686394"/>
    <n v="1.6754457914094723"/>
    <n v="7.5741781125981938E-3"/>
    <n v="91.93059882306261"/>
    <n v="937601.03"/>
    <n v="10681613.449999999"/>
    <n v="11619214.48"/>
    <n v="516599.796875"/>
  </r>
  <r>
    <x v="46"/>
    <x v="2"/>
    <n v="48"/>
    <n v="24"/>
    <n v="2"/>
    <n v="2.869140625"/>
    <n v="2.869140625"/>
    <n v="8.3334000866609941"/>
    <n v="6.7222770599720212"/>
    <n v="1.5048366828131674"/>
    <n v="1.2725844622547137E-2"/>
    <n v="91.666599913338999"/>
    <n v="967396.06"/>
    <n v="10641263.67"/>
    <n v="11608659.73"/>
    <n v="516599.796875"/>
  </r>
  <r>
    <x v="46"/>
    <x v="3"/>
    <n v="48"/>
    <n v="24"/>
    <n v="2"/>
    <n v="2.7890625"/>
    <n v="2.7890625"/>
    <n v="3.5735878167188497"/>
    <n v="2.3368717329702671"/>
    <n v="1.1985211513804461"/>
    <n v="1.5581171711141829E-2"/>
    <n v="96.426412183281144"/>
    <n v="415867.37"/>
    <n v="11221383.24"/>
    <n v="11637250.609999999"/>
    <n v="451959.83203125"/>
  </r>
  <r>
    <x v="47"/>
    <x v="0"/>
    <n v="48"/>
    <n v="24"/>
    <n v="2"/>
    <n v="3.3095703125"/>
    <n v="3.3095703125"/>
    <n v="6.153911308601919"/>
    <n v="4.2661760131371214"/>
    <n v="1.7614710944217253"/>
    <n v="7.9491033361231995E-3"/>
    <n v="93.84608869139808"/>
    <n v="717069.6"/>
    <n v="10935188.029999999"/>
    <n v="11652257.630000001"/>
    <n v="516599.796875"/>
  </r>
  <r>
    <x v="47"/>
    <x v="1"/>
    <n v="48"/>
    <n v="24"/>
    <n v="2"/>
    <n v="3.259765625"/>
    <n v="3.259765625"/>
    <n v="8.0583124796991914"/>
    <n v="6.2895812936773403"/>
    <n v="1.6791354649025876"/>
    <n v="7.6322519139469351E-3"/>
    <n v="91.941687520300803"/>
    <n v="939778.12"/>
    <n v="10722441.76"/>
    <n v="11662219.880000001"/>
    <n v="516599.796875"/>
  </r>
  <r>
    <x v="47"/>
    <x v="2"/>
    <n v="48"/>
    <n v="24"/>
    <n v="2"/>
    <n v="2.83984375"/>
    <n v="2.83984375"/>
    <n v="8.3154619512617192"/>
    <n v="6.7062856094046674"/>
    <n v="1.5031940133250343"/>
    <n v="1.2722005888054187E-2"/>
    <n v="91.684538048738276"/>
    <n v="968886.17"/>
    <n v="10682735.539999999"/>
    <n v="11651621.710000001"/>
    <n v="516599.796875"/>
  </r>
  <r>
    <x v="47"/>
    <x v="3"/>
    <n v="48"/>
    <n v="24"/>
    <n v="2"/>
    <n v="3.099609375"/>
    <n v="3.099609375"/>
    <n v="3.5779645199691572"/>
    <n v="2.3360251386168769"/>
    <n v="1.2038056876809367"/>
    <n v="1.5674667154884608E-2"/>
    <n v="96.422035480030843"/>
    <n v="417915.13"/>
    <n v="11262332.890000001"/>
    <n v="11680248.02"/>
    <n v="451959.83203125"/>
  </r>
  <r>
    <x v="48"/>
    <x v="0"/>
    <n v="48"/>
    <n v="24"/>
    <n v="2"/>
    <n v="3.5791015625"/>
    <n v="3.5791015625"/>
    <n v="6.1503596927430584"/>
    <n v="4.2592660754379663"/>
    <n v="1.765196559199943"/>
    <n v="8.0243082620847627E-3"/>
    <n v="93.849640307256948"/>
    <n v="719297.71"/>
    <n v="10975916"/>
    <n v="11695213.710000001"/>
    <n v="516599.796875"/>
  </r>
  <r>
    <x v="48"/>
    <x v="1"/>
    <n v="48"/>
    <n v="24"/>
    <n v="2"/>
    <n v="3.4697265625"/>
    <n v="3.4697265625"/>
    <n v="8.0466648795001667"/>
    <n v="6.2745548938606159"/>
    <n v="1.6827968541290461"/>
    <n v="7.6782752832450273E-3"/>
    <n v="91.95333512049983"/>
    <n v="941880.86"/>
    <n v="10763351.98"/>
    <n v="11705232.84"/>
    <n v="516599.796875"/>
  </r>
  <r>
    <x v="48"/>
    <x v="2"/>
    <n v="48"/>
    <n v="24"/>
    <n v="2"/>
    <n v="2.529296875"/>
    <n v="2.529296875"/>
    <n v="8.296747990004139"/>
    <n v="6.6895863024384274"/>
    <n v="1.501491560054224"/>
    <n v="1.2715696538672905E-2"/>
    <n v="91.703252009995865"/>
    <n v="970271.59"/>
    <n v="10724329.609999999"/>
    <n v="11694601.199999999"/>
    <n v="516599.796875"/>
  </r>
  <r>
    <x v="48"/>
    <x v="3"/>
    <n v="48"/>
    <n v="24"/>
    <n v="2"/>
    <n v="3.1591796875"/>
    <n v="3.1591796875"/>
    <n v="3.5817951538809085"/>
    <n v="2.3348205061520177"/>
    <n v="1.2089172712736542"/>
    <n v="1.5756301141145686E-2"/>
    <n v="96.418204846119096"/>
    <n v="419902.67"/>
    <n v="11303343.689999999"/>
    <n v="11723246.359999999"/>
    <n v="451959.83203125"/>
  </r>
  <r>
    <x v="49"/>
    <x v="0"/>
    <n v="48"/>
    <n v="24"/>
    <n v="2"/>
    <n v="3.3291015625"/>
    <n v="3.3291015625"/>
    <n v="6.1459950243774761"/>
    <n v="4.2517622551989893"/>
    <n v="1.7687086235835539"/>
    <n v="8.0807210254387959E-3"/>
    <n v="93.85400497562253"/>
    <n v="721390.25"/>
    <n v="11016176.199999999"/>
    <n v="11737566.449999999"/>
    <n v="516599.796875"/>
  </r>
  <r>
    <x v="49"/>
    <x v="1"/>
    <n v="48"/>
    <n v="24"/>
    <n v="2"/>
    <n v="2.51953125"/>
    <n v="2.51953125"/>
    <n v="8.0341217611065385"/>
    <n v="6.2588229388750065"/>
    <n v="1.6862650057820263"/>
    <n v="7.7216376549937276E-3"/>
    <n v="91.965878238893467"/>
    <n v="943819.5"/>
    <n v="10803817.99"/>
    <n v="11747637.49"/>
    <n v="516599.796875"/>
  </r>
  <r>
    <x v="49"/>
    <x v="2"/>
    <n v="48"/>
    <n v="24"/>
    <n v="2"/>
    <n v="2.1298828125"/>
    <n v="2.1298828125"/>
    <n v="8.2778005810886999"/>
    <n v="6.6726811504465546"/>
    <n v="1.4997626870173342"/>
    <n v="1.2712799925162411E-2"/>
    <n v="91.722199418911302"/>
    <n v="971564.59"/>
    <n v="10765424.970000001"/>
    <n v="11736989.560000001"/>
    <n v="516599.796875"/>
  </r>
  <r>
    <x v="49"/>
    <x v="3"/>
    <n v="48"/>
    <n v="24"/>
    <n v="2"/>
    <n v="2.9892578125"/>
    <n v="2.9892578125"/>
    <n v="3.5849695685662213"/>
    <n v="2.3330274919218206"/>
    <n v="1.21395128369462"/>
    <n v="1.5830077849618551E-2"/>
    <n v="96.415030431433777"/>
    <n v="421794.62"/>
    <n v="11343845.560000001"/>
    <n v="11765640.18"/>
    <n v="451959.83203125"/>
  </r>
  <r>
    <x v="50"/>
    <x v="0"/>
    <n v="48"/>
    <n v="24"/>
    <n v="2"/>
    <n v="2.8994140625"/>
    <n v="2.8994140625"/>
    <n v="6.1414576264371119"/>
    <n v="4.2441185887044872"/>
    <n v="1.772188508152829"/>
    <n v="8.1522624087960981E-3"/>
    <n v="93.858542373562884"/>
    <n v="723496.47"/>
    <n v="11057036.98"/>
    <n v="11780533.449999999"/>
    <n v="516599.796875"/>
  </r>
  <r>
    <x v="50"/>
    <x v="1"/>
    <n v="48"/>
    <n v="24"/>
    <n v="2"/>
    <n v="3.099609375"/>
    <n v="3.099609375"/>
    <n v="8.0213624949189857"/>
    <n v="6.2429327726697279"/>
    <n v="1.6896808049837075"/>
    <n v="7.7597884260986001E-3"/>
    <n v="91.978637505081011"/>
    <n v="945771.3"/>
    <n v="10844885.220000001"/>
    <n v="11790656.52"/>
    <n v="516599.796875"/>
  </r>
  <r>
    <x v="50"/>
    <x v="2"/>
    <n v="48"/>
    <n v="24"/>
    <n v="2"/>
    <n v="1.8896484375"/>
    <n v="1.8896484375"/>
    <n v="8.2584873008968867"/>
    <n v="6.6555121173138998"/>
    <n v="1.4979383365861612"/>
    <n v="1.2714971997693961E-2"/>
    <n v="91.741512699103112"/>
    <n v="972847.4"/>
    <n v="10807123.49"/>
    <n v="11779970.890000001"/>
    <n v="516599.796875"/>
  </r>
  <r>
    <x v="50"/>
    <x v="3"/>
    <n v="48"/>
    <n v="24"/>
    <n v="2"/>
    <n v="2.8896484375"/>
    <n v="2.8896484375"/>
    <n v="3.5881134879881866"/>
    <n v="2.3312793219881649"/>
    <n v="1.218926259141607"/>
    <n v="1.590334930064425E-2"/>
    <n v="96.411886512011819"/>
    <n v="423707.57"/>
    <n v="11384937.039999999"/>
    <n v="11808644.609999999"/>
    <n v="451959.83203125"/>
  </r>
  <r>
    <x v="51"/>
    <x v="0"/>
    <n v="48"/>
    <n v="24"/>
    <n v="2"/>
    <n v="3.0498046875"/>
    <n v="3.0498046875"/>
    <n v="6.1382778424572582"/>
    <n v="4.2379261503043981"/>
    <n v="1.7755637237537174"/>
    <n v="8.2256051620073767E-3"/>
    <n v="93.861722157542744"/>
    <n v="725763.44"/>
    <n v="11097804.32"/>
    <n v="11823567.76"/>
    <n v="516599.796875"/>
  </r>
  <r>
    <x v="51"/>
    <x v="1"/>
    <n v="48"/>
    <n v="24"/>
    <n v="2"/>
    <n v="2.9697265625"/>
    <n v="2.9697265625"/>
    <n v="8.009058747137388"/>
    <n v="6.2274980789065495"/>
    <n v="1.6930903462061928"/>
    <n v="7.8054766578368956E-3"/>
    <n v="91.990941252862612"/>
    <n v="947771.38"/>
    <n v="10885971.01"/>
    <n v="11833742.390000001"/>
    <n v="516599.796875"/>
  </r>
  <r>
    <x v="51"/>
    <x v="2"/>
    <n v="48"/>
    <n v="24"/>
    <n v="2"/>
    <n v="2.4091796875"/>
    <n v="2.4091796875"/>
    <n v="8.240037647967025"/>
    <n v="6.6392182000503892"/>
    <n v="1.4960958129802522"/>
    <n v="1.272356429117248E-2"/>
    <n v="91.759962352032971"/>
    <n v="974221.59"/>
    <n v="10848801.939999999"/>
    <n v="11823023.529999999"/>
    <n v="516599.796875"/>
  </r>
  <r>
    <x v="51"/>
    <x v="3"/>
    <n v="48"/>
    <n v="24"/>
    <n v="2"/>
    <n v="2.8994140625"/>
    <n v="2.8994140625"/>
    <n v="3.5923362814054913"/>
    <n v="2.3306045174018717"/>
    <n v="1.2238928184952516"/>
    <n v="1.5976098654798723E-2"/>
    <n v="96.407663718594506"/>
    <n v="425753.08"/>
    <n v="11425951.4"/>
    <n v="11851704.48"/>
    <n v="451959.83203125"/>
  </r>
  <r>
    <x v="52"/>
    <x v="0"/>
    <n v="48"/>
    <n v="24"/>
    <n v="2"/>
    <n v="3.259765625"/>
    <n v="3.259765625"/>
    <n v="6.1342355700161999"/>
    <n v="4.2307258260127396"/>
    <n v="1.7790851997886461"/>
    <n v="8.2877392155828213E-3"/>
    <n v="93.865764429983798"/>
    <n v="727923.08"/>
    <n v="11138642.390000001"/>
    <n v="11866565.470000001"/>
    <n v="516599.796875"/>
  </r>
  <r>
    <x v="52"/>
    <x v="1"/>
    <n v="48"/>
    <n v="24"/>
    <n v="2"/>
    <n v="3.109375"/>
    <n v="3.109375"/>
    <n v="7.9976748209055852"/>
    <n v="6.2130418031495926"/>
    <n v="1.6964377742465002"/>
    <n v="7.8339303360457548E-3"/>
    <n v="92.002325179094413"/>
    <n v="949867.6"/>
    <n v="10926929.359999999"/>
    <n v="11876796.960000001"/>
    <n v="516599.796875"/>
  </r>
  <r>
    <x v="52"/>
    <x v="2"/>
    <n v="48"/>
    <n v="24"/>
    <n v="2"/>
    <n v="1.9296875"/>
    <n v="1.9296875"/>
    <n v="8.2218566136246416"/>
    <n v="6.6230578681215224"/>
    <n v="1.4943762495601858"/>
    <n v="1.2716294784458028E-2"/>
    <n v="91.778143386375362"/>
    <n v="975608.39"/>
    <n v="10890426.689999999"/>
    <n v="11866035.08"/>
    <n v="516599.796875"/>
  </r>
  <r>
    <x v="52"/>
    <x v="3"/>
    <n v="48"/>
    <n v="24"/>
    <n v="2"/>
    <n v="2.9091796875"/>
    <n v="2.9091796875"/>
    <n v="3.5954944156026842"/>
    <n v="2.3289550493091484"/>
    <n v="1.2287810247054467"/>
    <n v="1.6056244501991012E-2"/>
    <n v="96.404505584397313"/>
    <n v="427675.04"/>
    <n v="11467074.07"/>
    <n v="11894749.109999999"/>
    <n v="451959.83203125"/>
  </r>
  <r>
    <x v="53"/>
    <x v="0"/>
    <n v="48"/>
    <n v="24"/>
    <n v="2"/>
    <n v="3.419921875"/>
    <n v="3.419921875"/>
    <n v="6.1296109052463601"/>
    <n v="4.2232727489457398"/>
    <n v="1.7823020747339238"/>
    <n v="8.3587366540481718E-3"/>
    <n v="93.870389094753634"/>
    <n v="730010.6"/>
    <n v="11179564.27"/>
    <n v="11909574.869999999"/>
    <n v="516599.796875"/>
  </r>
  <r>
    <x v="53"/>
    <x v="1"/>
    <n v="48"/>
    <n v="24"/>
    <n v="2"/>
    <n v="2.759765625"/>
    <n v="2.759765625"/>
    <n v="7.9855774857860817"/>
    <n v="6.1978641651810049"/>
    <n v="1.6997950356932858"/>
    <n v="7.8604234701024865E-3"/>
    <n v="92.014422514213919"/>
    <n v="951868.16"/>
    <n v="10967973.1"/>
    <n v="11919841.26"/>
    <n v="516599.796875"/>
  </r>
  <r>
    <x v="53"/>
    <x v="2"/>
    <n v="48"/>
    <n v="24"/>
    <n v="2"/>
    <n v="2.169921875"/>
    <n v="2.169921875"/>
    <n v="8.2035995480443678"/>
    <n v="6.6067532988014293"/>
    <n v="1.4927221158982764"/>
    <n v="1.2717980218246045E-2"/>
    <n v="91.796400451955634"/>
    <n v="976970.37"/>
    <n v="10932074.73"/>
    <n v="11909045.1"/>
    <n v="516599.796875"/>
  </r>
  <r>
    <x v="53"/>
    <x v="3"/>
    <n v="48"/>
    <n v="24"/>
    <n v="2"/>
    <n v="3.119140625"/>
    <n v="3.119140625"/>
    <n v="3.5985630816325966"/>
    <n v="2.3271729268182964"/>
    <n v="1.2336997226050701"/>
    <n v="1.6133321068962411E-2"/>
    <n v="96.401436918367409"/>
    <n v="429588.46"/>
    <n v="11508189.210000001"/>
    <n v="11937777.67"/>
    <n v="451959.83203125"/>
  </r>
  <r>
    <x v="54"/>
    <x v="0"/>
    <n v="48"/>
    <n v="24"/>
    <n v="2"/>
    <n v="2.7197265625"/>
    <n v="2.7197265625"/>
    <n v="6.1245454559205843"/>
    <n v="4.2154276098047676"/>
    <n v="1.7854716127116648"/>
    <n v="8.4211021887657216E-3"/>
    <n v="93.875454544079417"/>
    <n v="732041.94"/>
    <n v="11220550.220000001"/>
    <n v="11952592.16"/>
    <n v="516599.796875"/>
  </r>
  <r>
    <x v="54"/>
    <x v="1"/>
    <n v="48"/>
    <n v="24"/>
    <n v="2"/>
    <n v="3.4091796875"/>
    <n v="3.4091796875"/>
    <n v="7.9730985564044543"/>
    <n v="6.1823226346448523"/>
    <n v="1.7031348781016602"/>
    <n v="7.8926592853565871E-3"/>
    <n v="92.026901443595548"/>
    <n v="953812.86"/>
    <n v="11009075.26"/>
    <n v="11962888.119999999"/>
    <n v="516599.796875"/>
  </r>
  <r>
    <x v="54"/>
    <x v="2"/>
    <n v="48"/>
    <n v="24"/>
    <n v="2"/>
    <n v="1.9091796875"/>
    <n v="1.9091796875"/>
    <n v="8.1852564043615956"/>
    <n v="6.5902870578510004"/>
    <n v="1.4911402159843137"/>
    <n v="1.2709032763708085E-2"/>
    <n v="91.814743595638404"/>
    <n v="978305.97"/>
    <n v="10973744.42"/>
    <n v="11952050.390000001"/>
    <n v="516599.796875"/>
  </r>
  <r>
    <x v="54"/>
    <x v="3"/>
    <n v="48"/>
    <n v="24"/>
    <n v="2"/>
    <n v="3.08984375"/>
    <n v="3.08984375"/>
    <n v="3.6014608496404916"/>
    <n v="2.3253089248328975"/>
    <n v="1.238541792851052"/>
    <n v="1.6217595737141776E-2"/>
    <n v="96.398539150359511"/>
    <n v="431484.33"/>
    <n v="11549329.789999999"/>
    <n v="11980814.119999999"/>
    <n v="451959.83203125"/>
  </r>
  <r>
    <x v="55"/>
    <x v="0"/>
    <n v="48"/>
    <n v="24"/>
    <n v="2"/>
    <n v="3.3994140625"/>
    <n v="3.3994140625"/>
    <n v="6.1205695230612136"/>
    <n v="4.2086756621915296"/>
    <n v="1.7886315006464319"/>
    <n v="8.4934416711038383E-3"/>
    <n v="93.879430476938794"/>
    <n v="734199.55"/>
    <n v="11261408.82"/>
    <n v="11995608.369999999"/>
    <n v="516599.796875"/>
  </r>
  <r>
    <x v="55"/>
    <x v="1"/>
    <n v="48"/>
    <n v="24"/>
    <n v="2"/>
    <n v="3"/>
    <n v="3"/>
    <n v="7.9610537262863437"/>
    <n v="6.167244244179992"/>
    <n v="1.7064433827609402"/>
    <n v="7.9228293086883034E-3"/>
    <n v="92.038946273713663"/>
    <n v="955799.2"/>
    <n v="11050139.119999999"/>
    <n v="12005938.32"/>
    <n v="516599.796875"/>
  </r>
  <r>
    <x v="55"/>
    <x v="2"/>
    <n v="48"/>
    <n v="24"/>
    <n v="2"/>
    <n v="2.4697265625"/>
    <n v="2.4697265625"/>
    <n v="8.1677387188993489"/>
    <n v="6.5744342540096969"/>
    <n v="1.4897485103988419"/>
    <n v="1.2701404482431636E-2"/>
    <n v="91.832261281100656"/>
    <n v="979724.46"/>
    <n v="11015326.970000001"/>
    <n v="11995051.43"/>
    <n v="516599.796875"/>
  </r>
  <r>
    <x v="55"/>
    <x v="3"/>
    <n v="48"/>
    <n v="24"/>
    <n v="2"/>
    <n v="3.109375"/>
    <n v="3.109375"/>
    <n v="3.6056990277427658"/>
    <n v="2.3247719110959348"/>
    <n v="1.2433813185618547"/>
    <n v="1.6299855639735163E-2"/>
    <n v="96.394300972257241"/>
    <n v="433543.8"/>
    <n v="11590305.02"/>
    <n v="12023848.82"/>
    <n v="451959.83203125"/>
  </r>
  <r>
    <x v="56"/>
    <x v="0"/>
    <n v="48"/>
    <n v="24"/>
    <n v="2"/>
    <n v="3.0390625"/>
    <n v="3.0390625"/>
    <n v="6.1182405372021771"/>
    <n v="4.2032523771703652"/>
    <n v="1.7920836372521296"/>
    <n v="8.5635337459174614E-3"/>
    <n v="93.881759462797817"/>
    <n v="736550.81"/>
    <n v="11302054.17"/>
    <n v="12038604.98"/>
    <n v="516599.796875"/>
  </r>
  <r>
    <x v="56"/>
    <x v="1"/>
    <n v="48"/>
    <n v="24"/>
    <n v="2"/>
    <n v="2.8994140625"/>
    <n v="2.8994140625"/>
    <n v="7.9503202755480302"/>
    <n v="6.1537115559281288"/>
    <n v="1.7095089851064262"/>
    <n v="7.9627408166705604E-3"/>
    <n v="92.049679724451963"/>
    <n v="957933.45"/>
    <n v="11091058.5"/>
    <n v="12048991.949999999"/>
    <n v="516599.796875"/>
  </r>
  <r>
    <x v="56"/>
    <x v="2"/>
    <n v="48"/>
    <n v="24"/>
    <n v="2"/>
    <n v="2.2197265625"/>
    <n v="2.2197265625"/>
    <n v="8.1514726499045729"/>
    <n v="6.5598629990113189"/>
    <n v="1.4883073590778817"/>
    <n v="1.2732441921346304E-2"/>
    <n v="91.848527350095424"/>
    <n v="981279.81"/>
    <n v="11056788.060000001"/>
    <n v="12038067.869999999"/>
    <n v="516599.796875"/>
  </r>
  <r>
    <x v="56"/>
    <x v="3"/>
    <n v="48"/>
    <n v="24"/>
    <n v="2"/>
    <n v="2.76953125"/>
    <n v="2.76953125"/>
    <n v="3.6089312561542792"/>
    <n v="2.3233319878995018"/>
    <n v="1.24812904544221"/>
    <n v="1.6381687816841413E-2"/>
    <n v="96.391068743845722"/>
    <n v="435485.71"/>
    <n v="11631402.77"/>
    <n v="12066888.48"/>
    <n v="451959.83203125"/>
  </r>
  <r>
    <x v="57"/>
    <x v="0"/>
    <n v="48"/>
    <n v="24"/>
    <n v="2"/>
    <n v="3.7392578125"/>
    <n v="3.7392578125"/>
    <n v="6.1162992623101582"/>
    <n v="4.1980892620187484"/>
    <n v="1.7956489072551243"/>
    <n v="8.6442968346331778E-3"/>
    <n v="93.883700737689836"/>
    <n v="738947.26"/>
    <n v="11342660.07"/>
    <n v="12081607.33"/>
    <n v="516599.796875"/>
  </r>
  <r>
    <x v="57"/>
    <x v="1"/>
    <n v="48"/>
    <n v="24"/>
    <n v="2"/>
    <n v="2.9697265625"/>
    <n v="2.9697265625"/>
    <n v="7.9389566786261918"/>
    <n v="6.1392566210825992"/>
    <n v="1.7128624659288365"/>
    <n v="7.996504984650335E-3"/>
    <n v="92.061043321373802"/>
    <n v="959981.24"/>
    <n v="11132051.49"/>
    <n v="12092032.73"/>
    <n v="516599.796875"/>
  </r>
  <r>
    <x v="57"/>
    <x v="2"/>
    <n v="48"/>
    <n v="24"/>
    <n v="2"/>
    <n v="2.2890625"/>
    <n v="2.2890625"/>
    <n v="8.135022387108922"/>
    <n v="6.5446745585037576"/>
    <n v="1.4872852257775369"/>
    <n v="1.2726620041964778E-2"/>
    <n v="91.864977612891082"/>
    <n v="982796.55"/>
    <n v="11098258.710000001"/>
    <n v="12081055.26"/>
    <n v="516599.796875"/>
  </r>
  <r>
    <x v="57"/>
    <x v="3"/>
    <n v="48"/>
    <n v="24"/>
    <n v="2"/>
    <n v="4.2197265625"/>
    <n v="4.2197265625"/>
    <n v="3.6143358343546379"/>
    <n v="2.3236486419253239"/>
    <n v="1.2532687768898876"/>
    <n v="1.6480126065247586E-2"/>
    <n v="96.385664165645366"/>
    <n v="437693.16"/>
    <n v="11672226.34"/>
    <n v="12109919.5"/>
    <n v="451959.83203125"/>
  </r>
  <r>
    <x v="58"/>
    <x v="0"/>
    <n v="48"/>
    <n v="24"/>
    <n v="2"/>
    <n v="3.029296875"/>
    <n v="3.029296875"/>
    <n v="6.115177357033927"/>
    <n v="4.1933492740169731"/>
    <n v="1.7995432928237867"/>
    <n v="8.7160999741838358E-3"/>
    <n v="93.884822642966071"/>
    <n v="741439.21"/>
    <n v="11383134.890000001"/>
    <n v="12124574.1"/>
    <n v="516599.796875"/>
  </r>
  <r>
    <x v="58"/>
    <x v="1"/>
    <n v="48"/>
    <n v="24"/>
    <n v="2"/>
    <n v="2.919921875"/>
    <n v="2.919921875"/>
    <n v="7.9278024986137119"/>
    <n v="6.1250375098738195"/>
    <n v="1.7161841225512089"/>
    <n v="8.0338216516216178E-3"/>
    <n v="92.072197501386285"/>
    <n v="962044.5"/>
    <n v="11173026.98"/>
    <n v="12135071.48"/>
    <n v="516599.796875"/>
  </r>
  <r>
    <x v="58"/>
    <x v="2"/>
    <n v="48"/>
    <n v="24"/>
    <n v="2"/>
    <n v="2.3896484375"/>
    <n v="2.3896484375"/>
    <n v="8.1178741299932611"/>
    <n v="6.5293343172701377"/>
    <n v="1.485762538812117"/>
    <n v="1.2721304238648026E-2"/>
    <n v="91.882125870006732"/>
    <n v="984216.85"/>
    <n v="11139854.48"/>
    <n v="12124071.33"/>
    <n v="516599.796875"/>
  </r>
  <r>
    <x v="58"/>
    <x v="3"/>
    <n v="48"/>
    <n v="24"/>
    <n v="2"/>
    <n v="3.0693359375"/>
    <n v="3.0693359375"/>
    <n v="3.6186559570877117"/>
    <n v="2.3230305597470515"/>
    <n v="1.2582701152705982"/>
    <n v="1.6557868229254636E-2"/>
    <n v="96.381344042912289"/>
    <n v="439773.57"/>
    <n v="11713179.77"/>
    <n v="12152953.34"/>
    <n v="451959.83203125"/>
  </r>
  <r>
    <x v="59"/>
    <x v="0"/>
    <n v="48"/>
    <n v="24"/>
    <n v="2"/>
    <n v="3.6796875"/>
    <n v="3.6796875"/>
    <n v="6.1154038203582139"/>
    <n v="4.1901182104153314"/>
    <n v="1.8032858587704754"/>
    <n v="8.7804099576170649E-3"/>
    <n v="93.88459617964179"/>
    <n v="744094.28"/>
    <n v="11423446.93"/>
    <n v="12167541.210000001"/>
    <n v="516599.796875"/>
  </r>
  <r>
    <x v="59"/>
    <x v="1"/>
    <n v="48"/>
    <n v="24"/>
    <n v="2"/>
    <n v="4.1796875"/>
    <n v="4.1796875"/>
    <n v="7.9209171258980202"/>
    <n v="6.1152065034514003"/>
    <n v="1.7193776480829384"/>
    <n v="8.0729310925311149E-3"/>
    <n v="92.079082874101985"/>
    <n v="964617.58"/>
    <n v="11213487.109999999"/>
    <n v="12178104.689999999"/>
    <n v="516599.796875"/>
  </r>
  <r>
    <x v="59"/>
    <x v="2"/>
    <n v="48"/>
    <n v="24"/>
    <n v="2"/>
    <n v="2.599609375"/>
    <n v="2.599609375"/>
    <n v="8.1005550920304472"/>
    <n v="6.513829930293662"/>
    <n v="1.484218185519856"/>
    <n v="1.2727710513848968E-2"/>
    <n v="91.899444907969553"/>
    <n v="985600.56"/>
    <n v="11181473.779999999"/>
    <n v="12167074.34"/>
    <n v="516599.796875"/>
  </r>
  <r>
    <x v="59"/>
    <x v="3"/>
    <n v="48"/>
    <n v="24"/>
    <n v="2"/>
    <n v="3.0791015625"/>
    <n v="3.0791015625"/>
    <n v="3.6236083002008659"/>
    <n v="2.3231984742612477"/>
    <n v="1.263102026262646"/>
    <n v="1.6636799969356447E-2"/>
    <n v="96.376391699799129"/>
    <n v="441934.37"/>
    <n v="11754040.84"/>
    <n v="12195975.210000001"/>
    <n v="451959.83203125"/>
  </r>
  <r>
    <x v="60"/>
    <x v="0"/>
    <n v="48"/>
    <n v="24"/>
    <n v="2"/>
    <n v="3.5390625"/>
    <n v="3.5390625"/>
    <n v="6.1138298260050652"/>
    <n v="4.1854508810567461"/>
    <n v="1.8067087559691912"/>
    <n v="8.8673434341652556E-3"/>
    <n v="93.886170173994941"/>
    <n v="746531.28"/>
    <n v="11464002.890000001"/>
    <n v="12210534.17"/>
    <n v="516599.796875"/>
  </r>
  <r>
    <x v="60"/>
    <x v="1"/>
    <n v="48"/>
    <n v="24"/>
    <n v="2"/>
    <n v="4.0595703125"/>
    <n v="4.0595703125"/>
    <n v="7.9178836336096907"/>
    <n v="6.1095189957552876"/>
    <n v="1.7222921772528714"/>
    <n v="8.1343443706449834E-3"/>
    <n v="92.082116366390309"/>
    <n v="967656.02"/>
    <n v="11253488.73"/>
    <n v="12221144.75"/>
    <n v="516599.796875"/>
  </r>
  <r>
    <x v="60"/>
    <x v="2"/>
    <n v="48"/>
    <n v="24"/>
    <n v="2"/>
    <n v="2.5390625"/>
    <n v="2.5390625"/>
    <n v="8.0846078527154006"/>
    <n v="6.4997400260122795"/>
    <n v="1.4826389889342451"/>
    <n v="1.2718091229124144E-2"/>
    <n v="91.915392147284592"/>
    <n v="987137.65"/>
    <n v="11222949.32"/>
    <n v="12210086.970000001"/>
    <n v="516599.796875"/>
  </r>
  <r>
    <x v="60"/>
    <x v="3"/>
    <n v="48"/>
    <n v="24"/>
    <n v="2"/>
    <n v="2.849609375"/>
    <n v="2.849609375"/>
    <n v="3.6278777759726859"/>
    <n v="2.3229792205991728"/>
    <n v="1.2676729452979905"/>
    <n v="1.6720129047387147E-2"/>
    <n v="96.372122224027308"/>
    <n v="444016.7"/>
    <n v="11795003.67"/>
    <n v="12239020.369999999"/>
    <n v="451959.83203125"/>
  </r>
  <r>
    <x v="61"/>
    <x v="0"/>
    <n v="48"/>
    <n v="24"/>
    <n v="2"/>
    <n v="3.1591796875"/>
    <n v="3.1591796875"/>
    <n v="5.3845489247396285"/>
    <n v="2.4696036695518306"/>
    <n v="2.8774734653911205"/>
    <n v="2.8504741408651304E-2"/>
    <n v="94.615451075260367"/>
    <n v="1645.32"/>
    <n v="28911"/>
    <n v="30556.32"/>
    <n v="516599.796875"/>
  </r>
  <r>
    <x v="61"/>
    <x v="1"/>
    <n v="48"/>
    <n v="24"/>
    <n v="2"/>
    <n v="2.75"/>
    <n v="2.75"/>
    <n v="5.7131595847123551"/>
    <n v="3.1093977368135004"/>
    <n v="2.5909050473331554"/>
    <n v="1.9707267533786439E-2"/>
    <n v="94.286840415287642"/>
    <n v="1759.7"/>
    <n v="29041.119999999999"/>
    <n v="30800.82"/>
    <n v="516599.796875"/>
  </r>
  <r>
    <x v="61"/>
    <x v="2"/>
    <n v="48"/>
    <n v="24"/>
    <n v="2"/>
    <n v="2.189453125"/>
    <n v="2.189453125"/>
    <n v="2.9854226834721378"/>
    <n v="2.026538902469452"/>
    <n v="0.94662050543612086"/>
    <n v="1.6698928431067184E-2"/>
    <n v="97.014577316527863"/>
    <n v="915.35"/>
    <n v="29745.3"/>
    <n v="30660.65"/>
    <n v="516599.796875"/>
  </r>
  <r>
    <x v="61"/>
    <x v="3"/>
    <n v="48"/>
    <n v="24"/>
    <n v="2"/>
    <n v="2.609375"/>
    <n v="2.609375"/>
    <n v="4.3063459236725992"/>
    <n v="1.7238061369045801"/>
    <n v="2.5672940706842109"/>
    <n v="3.7642940778357198E-2"/>
    <n v="95.693654076327405"/>
    <n v="1324.75"/>
    <n v="29437.99"/>
    <n v="30762.74"/>
    <n v="451959.83203125"/>
  </r>
  <r>
    <x v="62"/>
    <x v="0"/>
    <n v="48"/>
    <n v="24"/>
    <n v="2"/>
    <n v="3.9697265625"/>
    <n v="3.9697265625"/>
    <n v="5.9841763361319478"/>
    <n v="3.0818288977137374"/>
    <n v="2.8658405124980497"/>
    <n v="2.8752247966878908E-2"/>
    <n v="94.015823663868048"/>
    <n v="3194.78"/>
    <n v="50192.35"/>
    <n v="53387.13"/>
    <n v="516599.796875"/>
  </r>
  <r>
    <x v="62"/>
    <x v="1"/>
    <n v="48"/>
    <n v="24"/>
    <n v="2"/>
    <n v="2.919921875"/>
    <n v="2.919921875"/>
    <n v="5.2020140194325339"/>
    <n v="2.6101648618338174"/>
    <n v="2.5797380612072454"/>
    <n v="1.8371601603061984E-2"/>
    <n v="94.797985980567461"/>
    <n v="2791.91"/>
    <n v="50877.88"/>
    <n v="53669.79"/>
    <n v="516599.796875"/>
  </r>
  <r>
    <x v="62"/>
    <x v="2"/>
    <n v="48"/>
    <n v="24"/>
    <n v="2"/>
    <n v="2.5"/>
    <n v="2.5"/>
    <n v="3.2116033568359703"/>
    <n v="2.230115001052329"/>
    <n v="0.96668472261318517"/>
    <n v="1.9121359511838982E-2"/>
    <n v="96.788396643164035"/>
    <n v="1718.22"/>
    <n v="51782.16"/>
    <n v="53500.38"/>
    <n v="516599.796875"/>
  </r>
  <r>
    <x v="62"/>
    <x v="3"/>
    <n v="48"/>
    <n v="24"/>
    <n v="2"/>
    <n v="2.779296875"/>
    <n v="2.779296875"/>
    <n v="4.3170653711219193"/>
    <n v="1.7314019498433244"/>
    <n v="2.5692546795214239"/>
    <n v="4.1618535911370422E-2"/>
    <n v="95.682934628878087"/>
    <n v="2315.2399999999998"/>
    <n v="51314.71"/>
    <n v="53629.95"/>
    <n v="451959.83203125"/>
  </r>
  <r>
    <x v="63"/>
    <x v="0"/>
    <n v="48"/>
    <n v="24"/>
    <n v="2"/>
    <n v="2.119140625"/>
    <n v="2.119140625"/>
    <n v="5.0236450274689819"/>
    <n v="2.5711685033959122"/>
    <n v="2.4234700758441852"/>
    <n v="2.3974929133387751E-2"/>
    <n v="94.976354972531013"/>
    <n v="4842.41"/>
    <n v="91549.95"/>
    <n v="96392.36"/>
    <n v="516599.796875"/>
  </r>
  <r>
    <x v="63"/>
    <x v="1"/>
    <n v="48"/>
    <n v="24"/>
    <n v="2"/>
    <n v="2.5390625"/>
    <n v="2.5390625"/>
    <n v="4.8392701881480589"/>
    <n v="2.2635317721312322"/>
    <n v="2.5643957868284675"/>
    <n v="1.7897986440336581E-2"/>
    <n v="95.160729811851937"/>
    <n v="4680.29"/>
    <n v="92034.5"/>
    <n v="96714.79"/>
    <n v="516599.796875"/>
  </r>
  <r>
    <x v="63"/>
    <x v="2"/>
    <n v="48"/>
    <n v="24"/>
    <n v="2"/>
    <n v="2.279296875"/>
    <n v="2.279296875"/>
    <n v="3.0597635846319338"/>
    <n v="2.0897513108084964"/>
    <n v="0.95596373446229987"/>
    <n v="1.6566087343996203E-2"/>
    <n v="96.940236415368062"/>
    <n v="2953.36"/>
    <n v="93569.13"/>
    <n v="96522.49"/>
    <n v="516599.796875"/>
  </r>
  <r>
    <x v="63"/>
    <x v="3"/>
    <n v="48"/>
    <n v="24"/>
    <n v="2"/>
    <n v="1.939453125"/>
    <n v="1.939453125"/>
    <n v="3.634418001248501"/>
    <n v="1.5675657003953587"/>
    <n v="2.0513494606997313"/>
    <n v="3.3249920675927969E-2"/>
    <n v="96.365581998751495"/>
    <n v="3514.19"/>
    <n v="93177.77"/>
    <n v="96691.96"/>
    <n v="451959.83203125"/>
  </r>
  <r>
    <x v="64"/>
    <x v="0"/>
    <n v="48"/>
    <n v="24"/>
    <n v="2"/>
    <n v="3.7998046875"/>
    <n v="3.7998046875"/>
    <n v="5.674365765378492"/>
    <n v="3.552424356705012"/>
    <n v="2.0870204240395025"/>
    <n v="1.8730737750653693E-2"/>
    <n v="94.325634234621504"/>
    <n v="7906.84"/>
    <n v="131436.31"/>
    <n v="139343.15"/>
    <n v="516599.796875"/>
  </r>
  <r>
    <x v="64"/>
    <x v="1"/>
    <n v="48"/>
    <n v="24"/>
    <n v="2"/>
    <n v="4.08984375"/>
    <n v="4.08984375"/>
    <n v="5.5370798226100595"/>
    <n v="2.9158041954037799"/>
    <n v="2.6035681259250989"/>
    <n v="2.071362518501977E-2"/>
    <n v="94.462920177389947"/>
    <n v="7736.12"/>
    <n v="131978.68"/>
    <n v="139714.79999999999"/>
    <n v="516599.796875"/>
  </r>
  <r>
    <x v="64"/>
    <x v="2"/>
    <n v="48"/>
    <n v="24"/>
    <n v="2"/>
    <n v="2.25"/>
    <n v="2.25"/>
    <n v="3.820824033318178"/>
    <n v="2.8044357899998151"/>
    <n v="0.99685982452238897"/>
    <n v="1.5205497895103141E-2"/>
    <n v="96.179175966681825"/>
    <n v="5329.63"/>
    <n v="134159.39000000001"/>
    <n v="139489.01999999999"/>
    <n v="516599.796875"/>
  </r>
  <r>
    <x v="64"/>
    <x v="3"/>
    <n v="48"/>
    <n v="24"/>
    <n v="2"/>
    <n v="2.6396484375"/>
    <n v="2.6396484375"/>
    <n v="3.9701845343008415"/>
    <n v="2.2348572043734847"/>
    <n v="1.716065638918379"/>
    <n v="2.7786653473374633E-2"/>
    <n v="96.029815465699158"/>
    <n v="5546.64"/>
    <n v="134160.72"/>
    <n v="139707.35999999999"/>
    <n v="451959.83203125"/>
  </r>
  <r>
    <x v="65"/>
    <x v="0"/>
    <n v="48"/>
    <n v="24"/>
    <n v="2"/>
    <n v="2.33984375"/>
    <n v="2.33984375"/>
    <n v="5.7024113915259989"/>
    <n v="3.7870381808595206"/>
    <n v="1.8772272387472675"/>
    <n v="1.5309952203985832E-2"/>
    <n v="94.297588608474001"/>
    <n v="10395.48"/>
    <n v="171904.24"/>
    <n v="182299.72"/>
    <n v="516599.796875"/>
  </r>
  <r>
    <x v="65"/>
    <x v="1"/>
    <n v="48"/>
    <n v="24"/>
    <n v="2"/>
    <n v="2.8896484375"/>
    <n v="2.8896484375"/>
    <n v="5.7760646774208384"/>
    <n v="3.127979150272445"/>
    <n v="2.6260149090528508"/>
    <n v="2.0866368100249652E-2"/>
    <n v="94.223935322579166"/>
    <n v="10552.08"/>
    <n v="172134.24"/>
    <n v="182686.32"/>
    <n v="516599.796875"/>
  </r>
  <r>
    <x v="65"/>
    <x v="2"/>
    <n v="48"/>
    <n v="24"/>
    <n v="2"/>
    <n v="2.259765625"/>
    <n v="2.259765625"/>
    <n v="4.0644650028945604"/>
    <n v="3.027454859710009"/>
    <n v="1.013644281809718"/>
    <n v="1.4574202532414308E-2"/>
    <n v="95.935534997105435"/>
    <n v="7415.44"/>
    <n v="175030.22"/>
    <n v="182445.66"/>
    <n v="516599.796875"/>
  </r>
  <r>
    <x v="65"/>
    <x v="3"/>
    <n v="48"/>
    <n v="24"/>
    <n v="2"/>
    <n v="1.7998046875"/>
    <n v="1.7998046875"/>
    <n v="4.0530361331248734"/>
    <n v="2.4860365834835076"/>
    <n v="1.5441367881700836"/>
    <n v="2.5468141998055378E-2"/>
    <n v="95.946963866875123"/>
    <n v="7404.85"/>
    <n v="175293.99"/>
    <n v="182698.84"/>
    <n v="451959.83203125"/>
  </r>
  <r>
    <x v="66"/>
    <x v="0"/>
    <n v="48"/>
    <n v="24"/>
    <n v="2"/>
    <n v="1.8896484375"/>
    <n v="1.8896484375"/>
    <n v="5.1197723863041178"/>
    <n v="3.3738315268049748"/>
    <n v="1.712273740090726"/>
    <n v="1.3480163697213419E-2"/>
    <n v="94.88022761369588"/>
    <n v="11534.54"/>
    <n v="213759.46"/>
    <n v="225294"/>
    <n v="516599.796875"/>
  </r>
  <r>
    <x v="66"/>
    <x v="1"/>
    <n v="48"/>
    <n v="24"/>
    <n v="2"/>
    <n v="3.08984375"/>
    <n v="3.08984375"/>
    <n v="5.5938808921706498"/>
    <n v="2.9426320126832879"/>
    <n v="2.6298388965245154"/>
    <n v="2.0825107600450903E-2"/>
    <n v="94.406119107829355"/>
    <n v="12624.78"/>
    <n v="213064.33"/>
    <n v="225689.11"/>
    <n v="516599.796875"/>
  </r>
  <r>
    <x v="66"/>
    <x v="2"/>
    <n v="48"/>
    <n v="24"/>
    <n v="2"/>
    <n v="2.1796875"/>
    <n v="2.1796875"/>
    <n v="3.8565484844510225"/>
    <n v="2.8367759337883052"/>
    <n v="0.99809545878010264"/>
    <n v="1.3692895977415727E-2"/>
    <n v="96.143451515548975"/>
    <n v="8694.41"/>
    <n v="216750.96"/>
    <n v="225445.37"/>
    <n v="516599.796875"/>
  </r>
  <r>
    <x v="66"/>
    <x v="3"/>
    <n v="48"/>
    <n v="24"/>
    <n v="2"/>
    <n v="1.6494140625"/>
    <n v="1.6494140625"/>
    <n v="3.6856723024028071"/>
    <n v="2.2544435844711712"/>
    <n v="1.4104762581007126"/>
    <n v="2.3618381177904303E-2"/>
    <n v="96.314327697597193"/>
    <n v="8320.64"/>
    <n v="217435.73"/>
    <n v="225756.37"/>
    <n v="451959.83203125"/>
  </r>
  <r>
    <x v="67"/>
    <x v="0"/>
    <n v="48"/>
    <n v="24"/>
    <n v="2"/>
    <n v="2.5"/>
    <n v="2.5"/>
    <n v="4.7053574883091329"/>
    <n v="3.0759790647201681"/>
    <n v="1.5986570253709846"/>
    <n v="1.1890470797786479E-2"/>
    <n v="95.294642511690867"/>
    <n v="12623.63"/>
    <n v="255658.43"/>
    <n v="268282.06"/>
    <n v="516599.796875"/>
  </r>
  <r>
    <x v="67"/>
    <x v="1"/>
    <n v="48"/>
    <n v="24"/>
    <n v="2"/>
    <n v="2.7197265625"/>
    <n v="2.7197265625"/>
    <n v="5.568596632306976"/>
    <n v="2.9053673861314144"/>
    <n v="2.642648192795567"/>
    <n v="2.052150602844361E-2"/>
    <n v="94.431403367693022"/>
    <n v="14962.47"/>
    <n v="253731.26"/>
    <n v="268693.73"/>
    <n v="516599.796875"/>
  </r>
  <r>
    <x v="67"/>
    <x v="2"/>
    <n v="48"/>
    <n v="24"/>
    <n v="2"/>
    <n v="2.439453125"/>
    <n v="2.439453125"/>
    <n v="3.7150380896339978"/>
    <n v="2.7066262756539463"/>
    <n v="0.98754945729000598"/>
    <n v="1.3128383031378661E-2"/>
    <n v="96.284961910366007"/>
    <n v="9972.1299999999992"/>
    <n v="258453.92"/>
    <n v="268426.05"/>
    <n v="516599.796875"/>
  </r>
  <r>
    <x v="67"/>
    <x v="3"/>
    <n v="48"/>
    <n v="24"/>
    <n v="2"/>
    <n v="2.009765625"/>
    <n v="2.009765625"/>
    <n v="3.4386488751738193"/>
    <n v="2.0927721167400044"/>
    <n v="1.325790045145437"/>
    <n v="2.1894852324894756E-2"/>
    <n v="96.561351124826174"/>
    <n v="9242.56"/>
    <n v="259542.08"/>
    <n v="268784.64000000001"/>
    <n v="451959.83203125"/>
  </r>
  <r>
    <x v="68"/>
    <x v="0"/>
    <n v="48"/>
    <n v="24"/>
    <n v="2"/>
    <n v="1.689453125"/>
    <n v="1.689453125"/>
    <n v="4.4651261348097941"/>
    <n v="2.9217661816047764"/>
    <n v="1.5148873089814214"/>
    <n v="1.1166750685007552E-2"/>
    <n v="95.534873865190207"/>
    <n v="13899.1"/>
    <n v="297382.14"/>
    <n v="311281.24"/>
    <n v="516599.796875"/>
  </r>
  <r>
    <x v="68"/>
    <x v="1"/>
    <n v="48"/>
    <n v="24"/>
    <n v="2"/>
    <n v="2.8994140625"/>
    <n v="2.8994140625"/>
    <n v="5.4756231254073526"/>
    <n v="2.8227565233225538"/>
    <n v="2.633438145195762"/>
    <n v="2.033956682240658E-2"/>
    <n v="94.524376874592647"/>
    <n v="17067.939999999999"/>
    <n v="294639.78000000003"/>
    <n v="311707.71999999997"/>
    <n v="516599.796875"/>
  </r>
  <r>
    <x v="68"/>
    <x v="2"/>
    <n v="48"/>
    <n v="24"/>
    <n v="2"/>
    <n v="2.119140625"/>
    <n v="2.119140625"/>
    <n v="3.644610344792818"/>
    <n v="2.6486538072132655"/>
    <n v="0.97613772112253627"/>
    <n v="1.4003541569839075E-2"/>
    <n v="96.355389655207176"/>
    <n v="11350.09"/>
    <n v="300071.13"/>
    <n v="311421.21999999997"/>
    <n v="516599.796875"/>
  </r>
  <r>
    <x v="68"/>
    <x v="3"/>
    <n v="48"/>
    <n v="24"/>
    <n v="2"/>
    <n v="1.8994140625"/>
    <n v="1.8994140625"/>
    <n v="3.2947213251465213"/>
    <n v="2.0161257477106638"/>
    <n v="1.2594885117404548"/>
    <n v="2.0761856883524058E-2"/>
    <n v="96.705278674853474"/>
    <n v="10273.66"/>
    <n v="301548.15999999997"/>
    <n v="311821.82"/>
    <n v="451959.83203125"/>
  </r>
  <r>
    <x v="69"/>
    <x v="0"/>
    <n v="48"/>
    <n v="24"/>
    <n v="2"/>
    <n v="2.0498046875"/>
    <n v="2.0498046875"/>
    <n v="4.2521959549060391"/>
    <n v="2.7745973471352423"/>
    <n v="1.4507212257395372"/>
    <n v="1.0724430936470514E-2"/>
    <n v="95.747804045093957"/>
    <n v="15070.82"/>
    <n v="339353.58"/>
    <n v="354424.4"/>
    <n v="516599.796875"/>
  </r>
  <r>
    <x v="69"/>
    <x v="1"/>
    <n v="48"/>
    <n v="24"/>
    <n v="2"/>
    <n v="2.9697265625"/>
    <n v="2.9697265625"/>
    <n v="5.3807829751110932"/>
    <n v="2.7347777422616351"/>
    <n v="2.6271951096723174"/>
    <n v="2.0295207059440639E-2"/>
    <n v="94.619217024888911"/>
    <n v="19094.36"/>
    <n v="335767.75"/>
    <n v="354862.11"/>
    <n v="516599.796875"/>
  </r>
  <r>
    <x v="69"/>
    <x v="2"/>
    <n v="48"/>
    <n v="24"/>
    <n v="2"/>
    <n v="2.5390625"/>
    <n v="2.5390625"/>
    <n v="3.5579693796653609"/>
    <n v="2.5726099205403132"/>
    <n v="0.96620874074324359"/>
    <n v="1.365934154979064E-2"/>
    <n v="96.442030620334634"/>
    <n v="12614.99"/>
    <n v="341940.9"/>
    <n v="354555.89"/>
    <n v="516599.796875"/>
  </r>
  <r>
    <x v="69"/>
    <x v="3"/>
    <n v="48"/>
    <n v="24"/>
    <n v="2"/>
    <n v="2.0498046875"/>
    <n v="2.0498046875"/>
    <n v="3.1655168779107914"/>
    <n v="1.9339019560338087"/>
    <n v="1.2129196048693907"/>
    <n v="2.015161938711979E-2"/>
    <n v="96.83448312208921"/>
    <n v="11237.86"/>
    <n v="343770.83"/>
    <n v="355008.69"/>
    <n v="451959.83203125"/>
  </r>
  <r>
    <x v="70"/>
    <x v="0"/>
    <n v="48"/>
    <n v="24"/>
    <n v="2"/>
    <n v="2.169921875"/>
    <n v="2.169921875"/>
    <n v="4.0879367006884166"/>
    <n v="2.6613813072362507"/>
    <n v="1.4011424309239824"/>
    <n v="1.0658347452414669E-2"/>
    <n v="95.912063299311583"/>
    <n v="16246.89"/>
    <n v="381188.08"/>
    <n v="397434.97"/>
    <n v="516599.796875"/>
  </r>
  <r>
    <x v="70"/>
    <x v="1"/>
    <n v="48"/>
    <n v="24"/>
    <n v="2"/>
    <n v="3.0390625"/>
    <n v="3.0390625"/>
    <n v="5.3269285360492793"/>
    <n v="2.6790228260383806"/>
    <n v="2.6290997114553565"/>
    <n v="2.009039647880927E-2"/>
    <n v="94.67307146395072"/>
    <n v="21193.279999999999"/>
    <n v="376658.5"/>
    <n v="397851.78"/>
    <n v="516599.796875"/>
  </r>
  <r>
    <x v="70"/>
    <x v="2"/>
    <n v="48"/>
    <n v="24"/>
    <n v="2"/>
    <n v="1.76953125"/>
    <n v="1.76953125"/>
    <n v="3.4824899914744099"/>
    <n v="2.5048341609985774"/>
    <n v="0.95907228781772313"/>
    <n v="1.3776673408022003E-2"/>
    <n v="96.517510008525591"/>
    <n v="13844.85"/>
    <n v="383711.21"/>
    <n v="397556.06"/>
    <n v="516599.796875"/>
  </r>
  <r>
    <x v="70"/>
    <x v="3"/>
    <n v="48"/>
    <n v="24"/>
    <n v="2"/>
    <n v="1.6591796875"/>
    <n v="1.6591796875"/>
    <n v="3.0473845751893416"/>
    <n v="1.8547405614902901"/>
    <n v="1.1745234818904591"/>
    <n v="1.9642927798611629E-2"/>
    <n v="96.952615424810659"/>
    <n v="12130.32"/>
    <n v="385926.43"/>
    <n v="398056.75"/>
    <n v="451959.83203125"/>
  </r>
  <r>
    <x v="71"/>
    <x v="0"/>
    <n v="48"/>
    <n v="24"/>
    <n v="2"/>
    <n v="2.2294921875"/>
    <n v="2.2294921875"/>
    <n v="3.9336106326812628"/>
    <n v="2.5482377850309303"/>
    <n v="1.3611149444531707"/>
    <n v="1.0155896761597168E-2"/>
    <n v="96.066389367318735"/>
    <n v="17324.95"/>
    <n v="423108.83"/>
    <n v="440433.78"/>
    <n v="516599.796875"/>
  </r>
  <r>
    <x v="71"/>
    <x v="1"/>
    <n v="48"/>
    <n v="24"/>
    <n v="2"/>
    <n v="2.9794921875"/>
    <n v="2.9794921875"/>
    <n v="5.2492456783652797"/>
    <n v="2.6067592816497704"/>
    <n v="2.6241431055253228"/>
    <n v="1.988342903093597E-2"/>
    <n v="94.750754321634716"/>
    <n v="23142.33"/>
    <n v="417727.3"/>
    <n v="440869.63"/>
    <n v="516599.796875"/>
  </r>
  <r>
    <x v="71"/>
    <x v="2"/>
    <n v="48"/>
    <n v="24"/>
    <n v="2"/>
    <n v="1.9794921875"/>
    <n v="1.9794921875"/>
    <n v="3.4175003818022773"/>
    <n v="2.446519534021443"/>
    <n v="0.95283956477627474"/>
    <n v="1.355148392607872E-2"/>
    <n v="96.582499618197716"/>
    <n v="15055.53"/>
    <n v="425486.63"/>
    <n v="440542.16"/>
    <n v="516599.796875"/>
  </r>
  <r>
    <x v="71"/>
    <x v="3"/>
    <n v="48"/>
    <n v="24"/>
    <n v="2"/>
    <n v="1.83984375"/>
    <n v="1.83984375"/>
    <n v="2.9602941286493176"/>
    <n v="1.7961852781963785"/>
    <n v="1.1460987531000197"/>
    <n v="1.9012169738366155E-2"/>
    <n v="97.039705871350677"/>
    <n v="13057.44"/>
    <n v="428028.46"/>
    <n v="441085.9"/>
    <n v="451959.83203125"/>
  </r>
  <r>
    <x v="72"/>
    <x v="0"/>
    <n v="48"/>
    <n v="24"/>
    <n v="2"/>
    <n v="2.2294921875"/>
    <n v="2.2294921875"/>
    <n v="3.8579334667514753"/>
    <n v="2.5048252894604839"/>
    <n v="1.3294942004478298"/>
    <n v="9.8170930358832745E-3"/>
    <n v="96.142066533248524"/>
    <n v="18650.89"/>
    <n v="464791.61"/>
    <n v="483442.5"/>
    <n v="516599.796875"/>
  </r>
  <r>
    <x v="72"/>
    <x v="1"/>
    <n v="48"/>
    <n v="24"/>
    <n v="2"/>
    <n v="3.83984375"/>
    <n v="3.83984375"/>
    <n v="5.2239170405552589"/>
    <n v="2.5855976876287108"/>
    <n v="2.6203955160276364"/>
    <n v="1.9965662202281773E-2"/>
    <n v="94.776082959444736"/>
    <n v="25277.53"/>
    <n v="458603.24"/>
    <n v="483880.77"/>
    <n v="516599.796875"/>
  </r>
  <r>
    <x v="72"/>
    <x v="2"/>
    <n v="48"/>
    <n v="24"/>
    <n v="2"/>
    <n v="2.6796875"/>
    <n v="2.6796875"/>
    <n v="3.4021881555874414"/>
    <n v="2.4361037585739704"/>
    <n v="0.94822446852804931"/>
    <n v="1.3494214146291799E-2"/>
    <n v="96.597811844412561"/>
    <n v="16450.96"/>
    <n v="467089.61"/>
    <n v="483540.57"/>
    <n v="516599.796875"/>
  </r>
  <r>
    <x v="72"/>
    <x v="3"/>
    <n v="48"/>
    <n v="24"/>
    <n v="2"/>
    <n v="1.69921875"/>
    <n v="1.69921875"/>
    <n v="2.9204750264147652"/>
    <n v="1.7816950484628911"/>
    <n v="1.1211312317513173"/>
    <n v="1.8410963820875884E-2"/>
    <n v="97.079524973585237"/>
    <n v="14138.42"/>
    <n v="469975.29"/>
    <n v="484113.71"/>
    <n v="451959.83203125"/>
  </r>
  <r>
    <x v="73"/>
    <x v="0"/>
    <n v="48"/>
    <n v="24"/>
    <n v="2"/>
    <n v="1.7294921875"/>
    <n v="1.7294921875"/>
    <n v="3.7587207834188052"/>
    <n v="2.4321146803348737"/>
    <n v="1.3037155582044093"/>
    <n v="9.6723026158979514E-3"/>
    <n v="96.241279216581191"/>
    <n v="19737.330000000002"/>
    <n v="505370.31"/>
    <n v="525107.64"/>
    <n v="516599.796875"/>
  </r>
  <r>
    <x v="73"/>
    <x v="1"/>
    <n v="48"/>
    <n v="24"/>
    <n v="2"/>
    <n v="2.7392578125"/>
    <n v="2.7392578125"/>
    <n v="5.1764569555388409"/>
    <n v="2.5415947503687066"/>
    <n v="2.617282630432586"/>
    <n v="1.9946604824517256E-2"/>
    <n v="94.823543044461161"/>
    <n v="27205.03"/>
    <n v="498348.07"/>
    <n v="525553.1"/>
    <n v="516599.796875"/>
  </r>
  <r>
    <x v="73"/>
    <x v="2"/>
    <n v="48"/>
    <n v="24"/>
    <n v="2"/>
    <n v="1.759765625"/>
    <n v="1.759765625"/>
    <n v="3.3925471632457191"/>
    <n v="2.4235490958265529"/>
    <n v="0.95081567973406378"/>
    <n v="1.3475417074821507E-2"/>
    <n v="96.607452836754277"/>
    <n v="17816.93"/>
    <n v="507361.62"/>
    <n v="525178.55000000005"/>
    <n v="516599.796875"/>
  </r>
  <r>
    <x v="73"/>
    <x v="3"/>
    <n v="48"/>
    <n v="24"/>
    <n v="2"/>
    <n v="1.7099609375"/>
    <n v="1.7099609375"/>
    <n v="2.8708569568921964"/>
    <n v="1.7495541859357022"/>
    <n v="1.1036311019700564"/>
    <n v="1.8192766414578496E-2"/>
    <n v="97.129143043107803"/>
    <n v="15095.35"/>
    <n v="510718.03"/>
    <n v="525813.38"/>
    <n v="451959.83203125"/>
  </r>
  <r>
    <x v="74"/>
    <x v="0"/>
    <n v="48"/>
    <n v="24"/>
    <n v="2"/>
    <n v="1.83984375"/>
    <n v="1.83984375"/>
    <n v="3.6964575701466074"/>
    <n v="2.3903558125421314"/>
    <n v="1.2834733939888439"/>
    <n v="9.4718881293117726E-3"/>
    <n v="96.303542429853394"/>
    <n v="21007.46"/>
    <n v="547305.84"/>
    <n v="568313.30000000005"/>
    <n v="516599.796875"/>
  </r>
  <r>
    <x v="74"/>
    <x v="1"/>
    <n v="48"/>
    <n v="24"/>
    <n v="2"/>
    <n v="2.9599609375"/>
    <n v="2.9599609375"/>
    <n v="5.3008594955732882"/>
    <n v="2.6339378770156037"/>
    <n v="2.6449060831960769"/>
    <n v="1.9729759786965718E-2"/>
    <n v="94.699140504426708"/>
    <n v="30147.83"/>
    <n v="538586.92000000004"/>
    <n v="568734.75"/>
    <n v="516599.796875"/>
  </r>
  <r>
    <x v="74"/>
    <x v="2"/>
    <n v="48"/>
    <n v="24"/>
    <n v="2"/>
    <n v="2.76953125"/>
    <n v="2.76953125"/>
    <n v="3.4408429347958331"/>
    <n v="2.4570238381920571"/>
    <n v="0.96379149711839562"/>
    <n v="1.3134150062230183E-2"/>
    <n v="96.559157065204161"/>
    <n v="19556.57"/>
    <n v="548809.1"/>
    <n v="568365.67000000004"/>
    <n v="516599.796875"/>
  </r>
  <r>
    <x v="74"/>
    <x v="3"/>
    <n v="48"/>
    <n v="24"/>
    <n v="2"/>
    <n v="1.859375"/>
    <n v="1.859375"/>
    <n v="2.8533124391583859"/>
    <n v="1.742385029580926"/>
    <n v="1.0928636206960725"/>
    <n v="1.776503957602342E-2"/>
    <n v="97.146687560841613"/>
    <n v="16236.46"/>
    <n v="552802.52"/>
    <n v="569038.98"/>
    <n v="451959.83203125"/>
  </r>
  <r>
    <x v="75"/>
    <x v="0"/>
    <n v="48"/>
    <n v="24"/>
    <n v="2"/>
    <n v="2.119140625"/>
    <n v="2.119140625"/>
    <n v="3.6319033835795742"/>
    <n v="2.342915936982509"/>
    <n v="1.2666781522944515"/>
    <n v="9.3945063191018859E-3"/>
    <n v="96.368096616420431"/>
    <n v="22202.36"/>
    <n v="589112.36"/>
    <n v="611314.72"/>
    <n v="516599.796875"/>
  </r>
  <r>
    <x v="75"/>
    <x v="1"/>
    <n v="48"/>
    <n v="24"/>
    <n v="2"/>
    <n v="3.3193359375"/>
    <n v="3.3193359375"/>
    <n v="5.3392656891112091"/>
    <n v="2.6591797034639466"/>
    <n v="2.6575515341735731"/>
    <n v="1.9681885799290536E-2"/>
    <n v="94.660734310888785"/>
    <n v="32661.89"/>
    <n v="579068.11"/>
    <n v="611730"/>
    <n v="516599.796875"/>
  </r>
  <r>
    <x v="75"/>
    <x v="2"/>
    <n v="48"/>
    <n v="24"/>
    <n v="2"/>
    <n v="2.08984375"/>
    <n v="2.08984375"/>
    <n v="3.4492098331733629"/>
    <n v="2.4421302481570417"/>
    <n v="0.9797196127930885"/>
    <n v="1.3575296513249131E-2"/>
    <n v="96.550790166826644"/>
    <n v="21086.09"/>
    <n v="590244.93999999994"/>
    <n v="611331.03"/>
    <n v="516599.796875"/>
  </r>
  <r>
    <x v="75"/>
    <x v="3"/>
    <n v="48"/>
    <n v="24"/>
    <n v="2"/>
    <n v="2.6796875"/>
    <n v="2.6796875"/>
    <n v="2.8302406211081328"/>
    <n v="1.728205591695851"/>
    <n v="1.0835945583635436"/>
    <n v="1.7466738369988487E-2"/>
    <n v="97.169759378891868"/>
    <n v="17323.27"/>
    <n v="594754.37"/>
    <n v="612077.64"/>
    <n v="451959.83203125"/>
  </r>
  <r>
    <x v="76"/>
    <x v="0"/>
    <n v="48"/>
    <n v="24"/>
    <n v="2"/>
    <n v="2.4091796875"/>
    <n v="2.4091796875"/>
    <n v="3.5822427360928342"/>
    <n v="2.309885230385949"/>
    <n v="1.2503629348641081"/>
    <n v="9.4022359659940349E-3"/>
    <n v="96.417757263907163"/>
    <n v="23446.68"/>
    <n v="631078.48"/>
    <n v="654525.16"/>
    <n v="516599.796875"/>
  </r>
  <r>
    <x v="76"/>
    <x v="1"/>
    <n v="48"/>
    <n v="24"/>
    <n v="2"/>
    <n v="3.2890625"/>
    <n v="3.2890625"/>
    <n v="5.3446241548202496"/>
    <n v="2.654853649775605"/>
    <n v="2.6668748322809899"/>
    <n v="1.9406735633614267E-2"/>
    <n v="94.655375845179748"/>
    <n v="35003.4"/>
    <n v="619923.85"/>
    <n v="654927.25"/>
    <n v="516599.796875"/>
  </r>
  <r>
    <x v="76"/>
    <x v="2"/>
    <n v="48"/>
    <n v="24"/>
    <n v="2"/>
    <n v="2.44921875"/>
    <n v="2.44921875"/>
    <n v="3.4751378735326792"/>
    <n v="2.4390148872642783"/>
    <n v="0.99832046872249247"/>
    <n v="1.3549683747508824E-2"/>
    <n v="96.524862126467326"/>
    <n v="22744.09"/>
    <n v="631736.13"/>
    <n v="654480.22"/>
    <n v="516599.796875"/>
  </r>
  <r>
    <x v="76"/>
    <x v="3"/>
    <n v="48"/>
    <n v="24"/>
    <n v="2"/>
    <n v="2.359375"/>
    <n v="2.359375"/>
    <n v="2.8461886178275209"/>
    <n v="1.752994172480193"/>
    <n v="1.074459741781856"/>
    <n v="1.736893345134808E-2"/>
    <n v="97.153811382172478"/>
    <n v="18651.3"/>
    <n v="636656.64000000001"/>
    <n v="655307.93999999994"/>
    <n v="451959.83203125"/>
  </r>
  <r>
    <x v="77"/>
    <x v="0"/>
    <n v="48"/>
    <n v="24"/>
    <n v="2"/>
    <n v="1.7998046875"/>
    <n v="1.7998046875"/>
    <n v="3.525244930731835"/>
    <n v="2.2695560915191773"/>
    <n v="1.2340814467663137"/>
    <n v="9.1579102273915709E-3"/>
    <n v="96.47475506926817"/>
    <n v="24589.96"/>
    <n v="672949.09"/>
    <n v="697539.05"/>
    <n v="516599.796875"/>
  </r>
  <r>
    <x v="77"/>
    <x v="1"/>
    <n v="48"/>
    <n v="24"/>
    <n v="2"/>
    <n v="2.919921875"/>
    <n v="2.919921875"/>
    <n v="5.3569361539998681"/>
    <n v="2.6607432377144806"/>
    <n v="2.6731152357122085"/>
    <n v="1.9365364787178926E-2"/>
    <n v="94.643063846000132"/>
    <n v="37388.58"/>
    <n v="660558.51"/>
    <n v="697947.09"/>
    <n v="516599.796875"/>
  </r>
  <r>
    <x v="77"/>
    <x v="2"/>
    <n v="48"/>
    <n v="24"/>
    <n v="2"/>
    <n v="2.3798828125"/>
    <n v="2.3798828125"/>
    <n v="3.5109192772798479"/>
    <n v="2.4555177740576961"/>
    <n v="1.0108998854253244"/>
    <n v="1.3652439095991745E-2"/>
    <n v="96.489080722720146"/>
    <n v="24487.18"/>
    <n v="672970.61"/>
    <n v="697457.79"/>
    <n v="516599.796875"/>
  </r>
  <r>
    <x v="77"/>
    <x v="3"/>
    <n v="48"/>
    <n v="24"/>
    <n v="2"/>
    <n v="1.849609375"/>
    <n v="1.849609375"/>
    <n v="2.8465815553967513"/>
    <n v="1.7596225588611583"/>
    <n v="1.0677349643904339"/>
    <n v="1.7342439725141448E-2"/>
    <n v="97.153418444603247"/>
    <n v="19878.95"/>
    <n v="678465.7"/>
    <n v="698344.65"/>
    <n v="451959.83203125"/>
  </r>
  <r>
    <x v="78"/>
    <x v="0"/>
    <n v="48"/>
    <n v="24"/>
    <n v="2"/>
    <n v="1.7890625"/>
    <n v="1.7890625"/>
    <n v="3.4704277313791958"/>
    <n v="2.2298426575489274"/>
    <n v="1.2193110510522818"/>
    <n v="8.9974847271577889E-3"/>
    <n v="96.529572268620811"/>
    <n v="25707.63"/>
    <n v="715054.95"/>
    <n v="740762.58"/>
    <n v="516599.796875"/>
  </r>
  <r>
    <x v="78"/>
    <x v="1"/>
    <n v="48"/>
    <n v="24"/>
    <n v="2"/>
    <n v="1.94921875"/>
    <n v="1.94921875"/>
    <n v="5.258841289532926"/>
    <n v="2.6155600295043699"/>
    <n v="2.6205157425246819"/>
    <n v="1.8850058972715095E-2"/>
    <n v="94.741158710467076"/>
    <n v="38976.68"/>
    <n v="702188.11"/>
    <n v="741164.79"/>
    <n v="516599.796875"/>
  </r>
  <r>
    <x v="78"/>
    <x v="2"/>
    <n v="48"/>
    <n v="24"/>
    <n v="2"/>
    <n v="2.3291015625"/>
    <n v="2.3291015625"/>
    <n v="3.5135125939237013"/>
    <n v="2.4434521617873854"/>
    <n v="1.0200101874640832"/>
    <n v="1.3403349938257097E-2"/>
    <n v="96.486487406076293"/>
    <n v="26022.33"/>
    <n v="714613.41"/>
    <n v="740635.74"/>
    <n v="516599.796875"/>
  </r>
  <r>
    <x v="78"/>
    <x v="3"/>
    <n v="48"/>
    <n v="24"/>
    <n v="2"/>
    <n v="1.5595703125"/>
    <n v="1.5595703125"/>
    <n v="2.8121342519384234"/>
    <n v="1.735942093110292"/>
    <n v="1.0571881265427714"/>
    <n v="1.7160669471616704E-2"/>
    <n v="97.187865748061583"/>
    <n v="20854.21"/>
    <n v="720725.25"/>
    <n v="741579.46"/>
    <n v="451959.83203125"/>
  </r>
  <r>
    <x v="79"/>
    <x v="0"/>
    <n v="48"/>
    <n v="24"/>
    <n v="2"/>
    <n v="1.9599609375"/>
    <n v="1.9599609375"/>
    <n v="3.4192389192513843"/>
    <n v="2.1909223752732645"/>
    <n v="1.2073760463008401"/>
    <n v="8.86076624436174E-3"/>
    <n v="96.580761080748616"/>
    <n v="26799.73"/>
    <n v="756992.53"/>
    <n v="783792.26"/>
    <n v="516599.796875"/>
  </r>
  <r>
    <x v="79"/>
    <x v="1"/>
    <n v="48"/>
    <n v="24"/>
    <n v="2"/>
    <n v="2.1796875"/>
    <n v="2.1796875"/>
    <n v="5.1261742422609826"/>
    <n v="2.5689624607939829"/>
    <n v="2.5347458597759749"/>
    <n v="1.8240012706800798E-2"/>
    <n v="94.873825757739013"/>
    <n v="40199.97"/>
    <n v="744010.01"/>
    <n v="784209.98"/>
    <n v="516599.796875"/>
  </r>
  <r>
    <x v="79"/>
    <x v="2"/>
    <n v="48"/>
    <n v="24"/>
    <n v="2"/>
    <n v="2.6796875"/>
    <n v="2.6796875"/>
    <n v="3.5158959936455765"/>
    <n v="2.4295910344772755"/>
    <n v="1.0303899519190405"/>
    <n v="1.3257737135123345E-2"/>
    <n v="96.484104006354428"/>
    <n v="27551.19"/>
    <n v="756066.7"/>
    <n v="783617.89"/>
    <n v="516599.796875"/>
  </r>
  <r>
    <x v="79"/>
    <x v="3"/>
    <n v="48"/>
    <n v="24"/>
    <n v="2"/>
    <n v="1.8798828125"/>
    <n v="1.8798828125"/>
    <n v="2.7810405426504872"/>
    <n v="1.7132998087508506"/>
    <n v="1.0487612366888466"/>
    <n v="1.6997686966176949E-2"/>
    <n v="97.218959457349513"/>
    <n v="21821.05"/>
    <n v="762815.12"/>
    <n v="784636.17"/>
    <n v="451959.83203125"/>
  </r>
  <r>
    <x v="80"/>
    <x v="0"/>
    <n v="48"/>
    <n v="24"/>
    <n v="2"/>
    <n v="1.8291015625"/>
    <n v="1.8291015625"/>
    <n v="3.3804587266621384"/>
    <n v="2.162554039727532"/>
    <n v="1.1971923676754082"/>
    <n v="8.7098391980853593E-3"/>
    <n v="96.619541273337859"/>
    <n v="27956.25"/>
    <n v="799039.5"/>
    <n v="826995.75"/>
    <n v="516599.796875"/>
  </r>
  <r>
    <x v="80"/>
    <x v="1"/>
    <n v="48"/>
    <n v="24"/>
    <n v="2"/>
    <n v="1.8193359375"/>
    <n v="1.8193359375"/>
    <n v="4.9982143718232583"/>
    <n v="2.5188101274787451"/>
    <n v="2.4572624549529216"/>
    <n v="1.756743903696208E-2"/>
    <n v="95.001785628176748"/>
    <n v="41357.22"/>
    <n v="786082.68"/>
    <n v="827439.9"/>
    <n v="516599.796875"/>
  </r>
  <r>
    <x v="80"/>
    <x v="2"/>
    <n v="48"/>
    <n v="24"/>
    <n v="2"/>
    <n v="2.76953125"/>
    <n v="2.76953125"/>
    <n v="3.5210672474007469"/>
    <n v="2.4183903006616507"/>
    <n v="1.0403277480954489"/>
    <n v="1.3288922103197921E-2"/>
    <n v="96.478932752599249"/>
    <n v="29111.439999999999"/>
    <n v="797667.43"/>
    <n v="826778.87"/>
    <n v="516599.796875"/>
  </r>
  <r>
    <x v="80"/>
    <x v="3"/>
    <n v="48"/>
    <n v="24"/>
    <n v="2"/>
    <n v="1.9892578125"/>
    <n v="1.9892578125"/>
    <n v="2.7535561862289071"/>
    <n v="1.6949557703652278"/>
    <n v="1.0398017309478294"/>
    <n v="1.6909515526375377E-2"/>
    <n v="97.246443813771094"/>
    <n v="22796.06"/>
    <n v="805081"/>
    <n v="827877.06"/>
    <n v="451959.83203125"/>
  </r>
  <r>
    <x v="81"/>
    <x v="0"/>
    <n v="48"/>
    <n v="24"/>
    <n v="2"/>
    <n v="1.6396484375"/>
    <n v="1.6396484375"/>
    <n v="3.3559543368170996"/>
    <n v="2.1474340436374555"/>
    <n v="1.1880618737820234"/>
    <n v="8.5298011320716193E-3"/>
    <n v="96.644045663182894"/>
    <n v="29197.09"/>
    <n v="840811.47"/>
    <n v="870008.56"/>
    <n v="516599.796875"/>
  </r>
  <r>
    <x v="81"/>
    <x v="1"/>
    <n v="48"/>
    <n v="24"/>
    <n v="2"/>
    <n v="2.0498046875"/>
    <n v="2.0498046875"/>
    <n v="4.9018170054580121"/>
    <n v="2.492290188294596"/>
    <n v="2.3877285415649747"/>
    <n v="1.6990592679892065E-2"/>
    <n v="95.098182994541986"/>
    <n v="42669.42"/>
    <n v="827812.28"/>
    <n v="870481.7"/>
    <n v="516599.796875"/>
  </r>
  <r>
    <x v="81"/>
    <x v="2"/>
    <n v="48"/>
    <n v="24"/>
    <n v="2"/>
    <n v="2.259765625"/>
    <n v="2.259765625"/>
    <n v="3.5342250723892885"/>
    <n v="2.4212076430137848"/>
    <n v="1.046756824442199"/>
    <n v="1.3318575897475295E-2"/>
    <n v="96.46577492761071"/>
    <n v="30739.37"/>
    <n v="839023.29"/>
    <n v="869762.66"/>
    <n v="516599.796875"/>
  </r>
  <r>
    <x v="81"/>
    <x v="3"/>
    <n v="48"/>
    <n v="24"/>
    <n v="2"/>
    <n v="3.0791015625"/>
    <n v="3.0791015625"/>
    <n v="2.7973948812214475"/>
    <n v="1.7393573155135631"/>
    <n v="1.0388207488252492"/>
    <n v="1.7127033975943107E-2"/>
    <n v="97.20260511877855"/>
    <n v="24362.62"/>
    <n v="846541.24"/>
    <n v="870903.86"/>
    <n v="451959.83203125"/>
  </r>
  <r>
    <x v="82"/>
    <x v="0"/>
    <n v="48"/>
    <n v="24"/>
    <n v="2"/>
    <n v="2.689453125"/>
    <n v="2.689453125"/>
    <n v="3.3316829508252299"/>
    <n v="2.1295749056474267"/>
    <n v="1.1814904918563292"/>
    <n v="8.4373405747798919E-3"/>
    <n v="96.668317049174775"/>
    <n v="30425.01"/>
    <n v="882777.43"/>
    <n v="913202.44"/>
    <n v="516599.796875"/>
  </r>
  <r>
    <x v="82"/>
    <x v="1"/>
    <n v="48"/>
    <n v="24"/>
    <n v="2"/>
    <n v="1.7099609375"/>
    <n v="1.7099609375"/>
    <n v="4.7967783586418404"/>
    <n v="2.450435036629151"/>
    <n v="2.324787556527248"/>
    <n v="1.6557533307739875E-2"/>
    <n v="95.203221641358155"/>
    <n v="43829.27"/>
    <n v="869893.79"/>
    <n v="913723.06"/>
    <n v="516599.796875"/>
  </r>
  <r>
    <x v="82"/>
    <x v="2"/>
    <n v="48"/>
    <n v="24"/>
    <n v="2"/>
    <n v="2.2998046875"/>
    <n v="2.2998046875"/>
    <n v="3.5327305726375577"/>
    <n v="2.4071071440862966"/>
    <n v="1.05428572686674"/>
    <n v="1.3355760232152096E-2"/>
    <n v="96.467269427362439"/>
    <n v="32251.69"/>
    <n v="880687.73"/>
    <n v="912939.42"/>
    <n v="516599.796875"/>
  </r>
  <r>
    <x v="82"/>
    <x v="3"/>
    <n v="48"/>
    <n v="24"/>
    <n v="2"/>
    <n v="2.0791015625"/>
    <n v="2.0791015625"/>
    <n v="2.7818090230573276"/>
    <n v="1.72840145782937"/>
    <n v="1.0343469682383331"/>
    <n v="1.7037924593285323E-2"/>
    <n v="97.218190976942665"/>
    <n v="25429.55"/>
    <n v="888707.61"/>
    <n v="914137.16"/>
    <n v="451959.83203125"/>
  </r>
  <r>
    <x v="83"/>
    <x v="0"/>
    <n v="48"/>
    <n v="24"/>
    <n v="2"/>
    <n v="2.4296875"/>
    <n v="2.4296875"/>
    <n v="3.3042839583757488"/>
    <n v="2.110300141085331"/>
    <n v="1.1735459587337433"/>
    <n v="8.3255279112565035E-3"/>
    <n v="96.695716041624252"/>
    <n v="31596.080000000002"/>
    <n v="924619.56"/>
    <n v="956215.64"/>
    <n v="516599.796875"/>
  </r>
  <r>
    <x v="83"/>
    <x v="1"/>
    <n v="48"/>
    <n v="24"/>
    <n v="2"/>
    <n v="1.849609375"/>
    <n v="1.849609375"/>
    <n v="4.7026635877949046"/>
    <n v="2.4147570956951867"/>
    <n v="2.2666434847209498"/>
    <n v="1.6108212235625353E-2"/>
    <n v="95.297336412205098"/>
    <n v="44994.1"/>
    <n v="911784.95"/>
    <n v="956779.05"/>
    <n v="516599.796875"/>
  </r>
  <r>
    <x v="83"/>
    <x v="2"/>
    <n v="48"/>
    <n v="24"/>
    <n v="2"/>
    <n v="2.3896484375"/>
    <n v="2.3896484375"/>
    <n v="3.5217640801479391"/>
    <n v="2.3970692979720156"/>
    <n v="1.0526097321732162"/>
    <n v="1.3394142713356224E-2"/>
    <n v="96.478235919852068"/>
    <n v="33665.96"/>
    <n v="922274.28"/>
    <n v="955940.24"/>
    <n v="516599.796875"/>
  </r>
  <r>
    <x v="83"/>
    <x v="3"/>
    <n v="48"/>
    <n v="24"/>
    <n v="2"/>
    <n v="1.6796875"/>
    <n v="1.6796875"/>
    <n v="2.769912786017664"/>
    <n v="1.7220301051331324"/>
    <n v="1.0288132869494242"/>
    <n v="1.7069787295552495E-2"/>
    <n v="97.23008721398233"/>
    <n v="26513.279999999999"/>
    <n v="930674.98"/>
    <n v="957188.26"/>
    <n v="451959.83203125"/>
  </r>
  <r>
    <x v="84"/>
    <x v="0"/>
    <n v="48"/>
    <n v="24"/>
    <n v="2"/>
    <n v="2.3994140625"/>
    <n v="2.3994140625"/>
    <n v="3.2748999175739106"/>
    <n v="2.088489132956767"/>
    <n v="1.1661762248154748"/>
    <n v="8.2567169798434155E-3"/>
    <n v="96.725100082426096"/>
    <n v="32730.29"/>
    <n v="966698.42"/>
    <n v="999428.71"/>
    <n v="516599.796875"/>
  </r>
  <r>
    <x v="84"/>
    <x v="1"/>
    <n v="48"/>
    <n v="24"/>
    <n v="2"/>
    <n v="1.9697265625"/>
    <n v="1.9697265625"/>
    <n v="4.6145320398150576"/>
    <n v="2.379354755046049"/>
    <n v="2.2141575077888422"/>
    <n v="1.5611834358437457E-2"/>
    <n v="95.38546796018494"/>
    <n v="46145.81"/>
    <n v="953864.8"/>
    <n v="1000010.61"/>
    <n v="516599.796875"/>
  </r>
  <r>
    <x v="84"/>
    <x v="2"/>
    <n v="48"/>
    <n v="24"/>
    <n v="2"/>
    <n v="2.26953125"/>
    <n v="2.26953125"/>
    <n v="3.5084700896768028"/>
    <n v="2.3862829938515593"/>
    <n v="1.0524347349222123"/>
    <n v="1.3484669093246531E-2"/>
    <n v="96.491529910323194"/>
    <n v="35054.339999999997"/>
    <n v="964080.3"/>
    <n v="999134.64"/>
    <n v="516599.796875"/>
  </r>
  <r>
    <x v="84"/>
    <x v="3"/>
    <n v="48"/>
    <n v="24"/>
    <n v="2"/>
    <n v="2.26953125"/>
    <n v="2.26953125"/>
    <n v="2.7506167812520008"/>
    <n v="1.7088952422165233"/>
    <n v="1.0228006299946018"/>
    <n v="1.7396560882635366E-2"/>
    <n v="97.249383218747994"/>
    <n v="27517.93"/>
    <n v="972909.69"/>
    <n v="1000427.62"/>
    <n v="451959.83203125"/>
  </r>
  <r>
    <x v="85"/>
    <x v="0"/>
    <n v="48"/>
    <n v="24"/>
    <n v="2"/>
    <n v="1.779296875"/>
    <n v="1.779296875"/>
    <n v="3.2574101164087819"/>
    <n v="2.0780189326196918"/>
    <n v="1.1593393935152185"/>
    <n v="8.2152577096797769E-3"/>
    <n v="96.742589883591222"/>
    <n v="33956.89"/>
    <n v="1008493.67"/>
    <n v="1042450.56"/>
    <n v="516599.796875"/>
  </r>
  <r>
    <x v="85"/>
    <x v="1"/>
    <n v="48"/>
    <n v="24"/>
    <n v="2"/>
    <n v="1.7294921875"/>
    <n v="1.7294921875"/>
    <n v="4.5490097229253603"/>
    <n v="2.3625082068418863"/>
    <n v="2.165738620755099"/>
    <n v="1.5240695712017751E-2"/>
    <n v="95.450990277074638"/>
    <n v="47449.02"/>
    <n v="995613.6"/>
    <n v="1043062.62"/>
    <n v="516599.796875"/>
  </r>
  <r>
    <x v="85"/>
    <x v="2"/>
    <n v="48"/>
    <n v="24"/>
    <n v="2"/>
    <n v="2.26953125"/>
    <n v="2.26953125"/>
    <n v="3.5037707793288111"/>
    <n v="2.386737531692638"/>
    <n v="1.049400472676169"/>
    <n v="1.3392600203123823E-2"/>
    <n v="96.496229220671182"/>
    <n v="36514.29"/>
    <n v="1005628.37"/>
    <n v="1042142.66"/>
    <n v="516599.796875"/>
  </r>
  <r>
    <x v="85"/>
    <x v="3"/>
    <n v="48"/>
    <n v="24"/>
    <n v="2"/>
    <n v="2.2998046875"/>
    <n v="2.2998046875"/>
    <n v="2.7455676485418881"/>
    <n v="1.7080974372366828"/>
    <n v="1.0184445846303585"/>
    <n v="1.7361016110488205E-2"/>
    <n v="97.254432351458107"/>
    <n v="28649.65"/>
    <n v="1014837.66"/>
    <n v="1043487.31"/>
    <n v="451959.83203125"/>
  </r>
  <r>
    <x v="86"/>
    <x v="0"/>
    <n v="48"/>
    <n v="24"/>
    <n v="2"/>
    <n v="2.08984375"/>
    <n v="2.08984375"/>
    <n v="3.228442934571631"/>
    <n v="2.0558424070701138"/>
    <n v="1.1527373247396162"/>
    <n v="8.1693201972236774E-3"/>
    <n v="96.771557065428368"/>
    <n v="35045.550000000003"/>
    <n v="1050479.29"/>
    <n v="1085524.8400000001"/>
    <n v="516599.796875"/>
  </r>
  <r>
    <x v="86"/>
    <x v="1"/>
    <n v="48"/>
    <n v="24"/>
    <n v="2"/>
    <n v="1.9892578125"/>
    <n v="1.9892578125"/>
    <n v="4.4747476142468479"/>
    <n v="2.3321097285328252"/>
    <n v="2.122095319642586"/>
    <n v="1.4850824252970395E-2"/>
    <n v="95.525252385753149"/>
    <n v="48601.8"/>
    <n v="1037533.2"/>
    <n v="1086135"/>
    <n v="516599.796875"/>
  </r>
  <r>
    <x v="86"/>
    <x v="2"/>
    <n v="48"/>
    <n v="24"/>
    <n v="2"/>
    <n v="1.939453125"/>
    <n v="1.939453125"/>
    <n v="3.4963913114285838"/>
    <n v="2.3818956282101578"/>
    <n v="1.0485473173627389"/>
    <n v="1.3439216494415578E-2"/>
    <n v="96.503608688571418"/>
    <n v="37942.22"/>
    <n v="1047240.09"/>
    <n v="1085182.31"/>
    <n v="516599.796875"/>
  </r>
  <r>
    <x v="86"/>
    <x v="3"/>
    <n v="48"/>
    <n v="24"/>
    <n v="2"/>
    <n v="1.8291015625"/>
    <n v="1.8291015625"/>
    <n v="2.7282641817799127"/>
    <n v="1.6947251499436891"/>
    <n v="1.0145147350178025"/>
    <n v="1.7254487772809898E-2"/>
    <n v="97.271735818220094"/>
    <n v="29644.17"/>
    <n v="1056913.73"/>
    <n v="1086557.8999999999"/>
    <n v="451959.83203125"/>
  </r>
  <r>
    <x v="87"/>
    <x v="0"/>
    <n v="48"/>
    <n v="24"/>
    <n v="2"/>
    <n v="2.4892578125"/>
    <n v="2.4892578125"/>
    <n v="3.2070853626252882"/>
    <n v="2.0406925419159321"/>
    <n v="1.1466909757105246"/>
    <n v="8.1105958115635576E-3"/>
    <n v="96.792914637374707"/>
    <n v="36192.720000000001"/>
    <n v="1092331.03"/>
    <n v="1128523.75"/>
    <n v="516599.796875"/>
  </r>
  <r>
    <x v="87"/>
    <x v="1"/>
    <n v="48"/>
    <n v="24"/>
    <n v="2"/>
    <n v="1.94921875"/>
    <n v="1.94921875"/>
    <n v="4.4047267241651786"/>
    <n v="2.3027522686348387"/>
    <n v="2.0815843218859613"/>
    <n v="1.4506184376951012E-2"/>
    <n v="95.595273275834828"/>
    <n v="49737.01"/>
    <n v="1079436.56"/>
    <n v="1129173.57"/>
    <n v="516599.796875"/>
  </r>
  <r>
    <x v="87"/>
    <x v="2"/>
    <n v="48"/>
    <n v="24"/>
    <n v="2"/>
    <n v="2.1298828125"/>
    <n v="2.1298828125"/>
    <n v="3.4811489265700502"/>
    <n v="2.3705482378596829"/>
    <n v="1.0464447116928126"/>
    <n v="1.3373842982644957E-2"/>
    <n v="96.518851073429957"/>
    <n v="39273.360000000001"/>
    <n v="1088899"/>
    <n v="1128172.3600000001"/>
    <n v="516599.796875"/>
  </r>
  <r>
    <x v="87"/>
    <x v="3"/>
    <n v="48"/>
    <n v="24"/>
    <n v="2"/>
    <n v="1.849609375"/>
    <n v="1.849609375"/>
    <n v="2.7146200690109601"/>
    <n v="1.6854419038300383"/>
    <n v="1.0101589017673194"/>
    <n v="1.7234547576615723E-2"/>
    <n v="97.285379930989038"/>
    <n v="30664.12"/>
    <n v="1098927.47"/>
    <n v="1129591.5900000001"/>
    <n v="451959.83203125"/>
  </r>
  <r>
    <x v="88"/>
    <x v="0"/>
    <n v="48"/>
    <n v="24"/>
    <n v="2"/>
    <n v="2.9296875"/>
    <n v="2.9296875"/>
    <n v="3.2100683299265977"/>
    <n v="2.0445969805161157"/>
    <n v="1.1458916151166441"/>
    <n v="8.0545109772715891E-3"/>
    <n v="96.7899316700734"/>
    <n v="37606.51"/>
    <n v="1133910.92"/>
    <n v="1171517.43"/>
    <n v="516599.796875"/>
  </r>
  <r>
    <x v="88"/>
    <x v="1"/>
    <n v="48"/>
    <n v="24"/>
    <n v="2"/>
    <n v="2.2197265625"/>
    <n v="2.2197265625"/>
    <n v="4.3426783054618125"/>
    <n v="2.2798832048391491"/>
    <n v="2.0426100836704397"/>
    <n v="1.416986313243038E-2"/>
    <n v="95.657321694538183"/>
    <n v="50905.14"/>
    <n v="1121300.96"/>
    <n v="1172206.1000000001"/>
    <n v="516599.796875"/>
  </r>
  <r>
    <x v="88"/>
    <x v="2"/>
    <n v="48"/>
    <n v="24"/>
    <n v="2"/>
    <n v="2.4599609375"/>
    <n v="2.4599609375"/>
    <n v="3.4741455163489547"/>
    <n v="2.3670128902059111"/>
    <n v="1.0446441798540849"/>
    <n v="1.3645439715564178E-2"/>
    <n v="96.525854483651045"/>
    <n v="40687.82"/>
    <n v="1130472.68"/>
    <n v="1171160.5"/>
    <n v="516599.796875"/>
  </r>
  <r>
    <x v="88"/>
    <x v="3"/>
    <n v="48"/>
    <n v="24"/>
    <n v="2"/>
    <n v="1.609375"/>
    <n v="1.609375"/>
    <n v="2.6969673146009581"/>
    <n v="1.6724827823098565"/>
    <n v="1.0056260641733186"/>
    <n v="1.7341365161215299E-2"/>
    <n v="97.303032685399046"/>
    <n v="31625.439999999999"/>
    <n v="1141004.27"/>
    <n v="1172629.71"/>
    <n v="451959.83203125"/>
  </r>
  <r>
    <x v="89"/>
    <x v="0"/>
    <n v="48"/>
    <n v="24"/>
    <n v="2"/>
    <n v="2.4794921875"/>
    <n v="2.4794921875"/>
    <n v="3.2085241348876048"/>
    <n v="2.0476288995239407"/>
    <n v="1.1413746074126958"/>
    <n v="8.0682737173756423E-3"/>
    <n v="96.791475865112389"/>
    <n v="38967.85"/>
    <n v="1175542.26"/>
    <n v="1214510.1100000001"/>
    <n v="516599.796875"/>
  </r>
  <r>
    <x v="89"/>
    <x v="1"/>
    <n v="48"/>
    <n v="24"/>
    <n v="2"/>
    <n v="2.44921875"/>
    <n v="2.44921875"/>
    <n v="4.303605796835261"/>
    <n v="2.2759354511384164"/>
    <n v="2.0076139800102064"/>
    <n v="1.395873019909109E-2"/>
    <n v="95.696394203164743"/>
    <n v="52298.5"/>
    <n v="1162926.6499999999"/>
    <n v="1215225.1499999999"/>
    <n v="516599.796875"/>
  </r>
  <r>
    <x v="89"/>
    <x v="2"/>
    <n v="48"/>
    <n v="24"/>
    <n v="2"/>
    <n v="1.9794921875"/>
    <n v="1.9794921875"/>
    <n v="3.4822139319740222"/>
    <n v="2.3770223911570114"/>
    <n v="1.0441121772531401"/>
    <n v="1.3548025179510098E-2"/>
    <n v="96.517786068025984"/>
    <n v="42278.44"/>
    <n v="1171846.8500000001"/>
    <n v="1214125.29"/>
    <n v="516599.796875"/>
  </r>
  <r>
    <x v="89"/>
    <x v="3"/>
    <n v="48"/>
    <n v="24"/>
    <n v="2"/>
    <n v="2.2099609375"/>
    <n v="2.2099609375"/>
    <n v="2.7068762031904501"/>
    <n v="1.6845966022786822"/>
    <n v="1.0032789561829898"/>
    <n v="1.7287970803532643E-2"/>
    <n v="97.293123796809553"/>
    <n v="32905.949999999997"/>
    <n v="1182737.01"/>
    <n v="1215642.96"/>
    <n v="451959.83203125"/>
  </r>
  <r>
    <x v="90"/>
    <x v="0"/>
    <n v="48"/>
    <n v="24"/>
    <n v="2"/>
    <n v="2.2099609375"/>
    <n v="2.2099609375"/>
    <n v="3.1878653947671434"/>
    <n v="2.0318898378862613"/>
    <n v="1.1365972325168714"/>
    <n v="8.0438327548725212E-3"/>
    <n v="96.812134605232856"/>
    <n v="40019.56"/>
    <n v="1215352.1399999999"/>
    <n v="1255371.7"/>
    <n v="516599.796875"/>
  </r>
  <r>
    <x v="90"/>
    <x v="1"/>
    <n v="48"/>
    <n v="24"/>
    <n v="2"/>
    <n v="1.919921875"/>
    <n v="1.919921875"/>
    <n v="4.2456719469493711"/>
    <n v="2.2502046590860871"/>
    <n v="1.9756490119163614"/>
    <n v="1.3673129645231843E-2"/>
    <n v="95.754328053050628"/>
    <n v="53330.45"/>
    <n v="1202782.8500000001"/>
    <n v="1256113.3"/>
    <n v="516599.796875"/>
  </r>
  <r>
    <x v="90"/>
    <x v="2"/>
    <n v="48"/>
    <n v="24"/>
    <n v="2"/>
    <n v="1.9892578125"/>
    <n v="1.9892578125"/>
    <n v="3.4676023357591368"/>
    <n v="2.3656838654293519"/>
    <n v="1.0422865460061448"/>
    <n v="1.347509216346298E-2"/>
    <n v="96.532397664240861"/>
    <n v="43517.79"/>
    <n v="1211464.3500000001"/>
    <n v="1254982.1399999999"/>
    <n v="516599.796875"/>
  </r>
  <r>
    <x v="90"/>
    <x v="3"/>
    <n v="48"/>
    <n v="24"/>
    <n v="2"/>
    <n v="1.8193359375"/>
    <n v="1.8193359375"/>
    <n v="2.690329274765801"/>
    <n v="1.672093097880007"/>
    <n v="0.999382648412525"/>
    <n v="1.7175094891583538E-2"/>
    <n v="97.309670725234199"/>
    <n v="33804.76"/>
    <n v="1222723.96"/>
    <n v="1256528.72"/>
    <n v="451959.83203125"/>
  </r>
  <r>
    <x v="91"/>
    <x v="0"/>
    <n v="48"/>
    <n v="24"/>
    <n v="2"/>
    <n v="2.26953125"/>
    <n v="2.26953125"/>
    <n v="3.17345120314133"/>
    <n v="2.0211095040504077"/>
    <n v="1.1330455719624237"/>
    <n v="7.9374904680412951E-3"/>
    <n v="96.826548796858674"/>
    <n v="41203.94"/>
    <n v="1257191.32"/>
    <n v="1298395.26"/>
    <n v="516599.796875"/>
  </r>
  <r>
    <x v="91"/>
    <x v="1"/>
    <n v="48"/>
    <n v="24"/>
    <n v="2"/>
    <n v="2.419921875"/>
    <n v="2.419921875"/>
    <n v="4.2105052981369724"/>
    <n v="2.2439693581359306"/>
    <n v="1.9469263243741395"/>
    <n v="1.3441007539526199E-2"/>
    <n v="95.789494701863021"/>
    <n v="54701.14"/>
    <n v="1244457.42"/>
    <n v="1299158.56"/>
    <n v="516599.796875"/>
  </r>
  <r>
    <x v="91"/>
    <x v="2"/>
    <n v="48"/>
    <n v="24"/>
    <n v="2"/>
    <n v="3.0498046875"/>
    <n v="3.0498046875"/>
    <n v="3.4721900838489699"/>
    <n v="2.3735642711682208"/>
    <n v="1.0403726544180385"/>
    <n v="1.3417671855041131E-2"/>
    <n v="96.527809916151028"/>
    <n v="45068.67"/>
    <n v="1252921.04"/>
    <n v="1297989.71"/>
    <n v="516599.796875"/>
  </r>
  <r>
    <x v="91"/>
    <x v="3"/>
    <n v="48"/>
    <n v="24"/>
    <n v="2"/>
    <n v="1.779296875"/>
    <n v="1.779296875"/>
    <n v="2.6768422901982878"/>
    <n v="1.6618217960941286"/>
    <n v="0.99615969469866794"/>
    <n v="1.7200254951284952E-2"/>
    <n v="97.323157709801706"/>
    <n v="34787.54"/>
    <n v="1264786.22"/>
    <n v="1299573.76"/>
    <n v="451959.83203125"/>
  </r>
  <r>
    <x v="92"/>
    <x v="0"/>
    <n v="48"/>
    <n v="24"/>
    <n v="2"/>
    <n v="2.4892578125"/>
    <n v="2.4892578125"/>
    <n v="3.2128017401624533"/>
    <n v="2.0623937456932393"/>
    <n v="1.1310411778364646"/>
    <n v="7.9082162004763153E-3"/>
    <n v="96.787198259837552"/>
    <n v="43092.13"/>
    <n v="1298171.1499999999"/>
    <n v="1341263.28"/>
    <n v="516599.796875"/>
  </r>
  <r>
    <x v="92"/>
    <x v="1"/>
    <n v="48"/>
    <n v="24"/>
    <n v="2"/>
    <n v="2.5791015625"/>
    <n v="2.5791015625"/>
    <n v="4.1659523414111499"/>
    <n v="2.2320702075819256"/>
    <n v="1.9145074273334501"/>
    <n v="1.3128334503078196E-2"/>
    <n v="95.834047658588844"/>
    <n v="55909.54"/>
    <n v="1286149.5"/>
    <n v="1342059.04"/>
    <n v="516599.796875"/>
  </r>
  <r>
    <x v="92"/>
    <x v="2"/>
    <n v="48"/>
    <n v="24"/>
    <n v="2"/>
    <n v="2.8896484375"/>
    <n v="2.8896484375"/>
    <n v="3.484539709654916"/>
    <n v="2.3896222901834254"/>
    <n v="1.0379349075278355"/>
    <n v="1.3457135599912528E-2"/>
    <n v="96.515460290345089"/>
    <n v="46722.45"/>
    <n v="1294127.53"/>
    <n v="1340849.98"/>
    <n v="516599.796875"/>
  </r>
  <r>
    <x v="92"/>
    <x v="3"/>
    <n v="48"/>
    <n v="24"/>
    <n v="2"/>
    <n v="2.4697265625"/>
    <n v="2.4697265625"/>
    <n v="2.6710034950445869"/>
    <n v="1.6601977621450108"/>
    <n v="0.99212174543735621"/>
    <n v="1.7137603139309152E-2"/>
    <n v="97.328996504955413"/>
    <n v="35857.86"/>
    <n v="1306628.5900000001"/>
    <n v="1342486.45"/>
    <n v="451959.83203125"/>
  </r>
  <r>
    <x v="93"/>
    <x v="0"/>
    <n v="48"/>
    <n v="24"/>
    <n v="2"/>
    <n v="2.2890625"/>
    <n v="2.2890625"/>
    <n v="3.2328941929287227"/>
    <n v="2.0854698740587847"/>
    <n v="1.1281512953799371"/>
    <n v="7.8669824883281503E-3"/>
    <n v="96.767105807071275"/>
    <n v="44751.87"/>
    <n v="1339514.5900000001"/>
    <n v="1384266.46"/>
    <n v="516599.796875"/>
  </r>
  <r>
    <x v="93"/>
    <x v="1"/>
    <n v="48"/>
    <n v="24"/>
    <n v="2"/>
    <n v="3.01953125"/>
    <n v="3.01953125"/>
    <n v="4.1335842779348928"/>
    <n v="2.2318514011511583"/>
    <n v="1.8826786915382985"/>
    <n v="1.2908069793996188E-2"/>
    <n v="95.866415722065113"/>
    <n v="57254.38"/>
    <n v="1327848.1399999999"/>
    <n v="1385102.52"/>
    <n v="516599.796875"/>
  </r>
  <r>
    <x v="93"/>
    <x v="2"/>
    <n v="48"/>
    <n v="24"/>
    <n v="2"/>
    <n v="2.5693359375"/>
    <n v="2.5693359375"/>
    <n v="3.4918309198494262"/>
    <n v="2.401238818709023"/>
    <n v="1.0348858128399363"/>
    <n v="1.3343957241064505E-2"/>
    <n v="96.50816908015058"/>
    <n v="48321.61"/>
    <n v="1335525.75"/>
    <n v="1383847.36"/>
    <n v="516599.796875"/>
  </r>
  <r>
    <x v="93"/>
    <x v="3"/>
    <n v="48"/>
    <n v="24"/>
    <n v="2"/>
    <n v="1.619140625"/>
    <n v="1.619140625"/>
    <n v="2.6727581341517843"/>
    <n v="1.6657051538271863"/>
    <n v="0.98844920089925192"/>
    <n v="1.7140074247094739E-2"/>
    <n v="97.327241865848222"/>
    <n v="37031.730000000003"/>
    <n v="1348493.19"/>
    <n v="1385524.92"/>
    <n v="451959.83203125"/>
  </r>
  <r>
    <x v="94"/>
    <x v="0"/>
    <n v="48"/>
    <n v="24"/>
    <n v="2"/>
    <n v="1.8896484375"/>
    <n v="1.8896484375"/>
    <n v="3.2156668318382913"/>
    <n v="2.072077246090561"/>
    <n v="1.1245020022274663"/>
    <n v="7.8569967182850701E-3"/>
    <n v="96.784333168161709"/>
    <n v="45896.02"/>
    <n v="1381366.89"/>
    <n v="1427262.91"/>
    <n v="516599.796875"/>
  </r>
  <r>
    <x v="94"/>
    <x v="1"/>
    <n v="48"/>
    <n v="24"/>
    <n v="2"/>
    <n v="2.669921875"/>
    <n v="2.669921875"/>
    <n v="4.074804867727587"/>
    <n v="2.20383242538326"/>
    <n v="1.8522524599166734"/>
    <n v="1.2652005329540836E-2"/>
    <n v="95.925195132272407"/>
    <n v="58194.45"/>
    <n v="1369958.6"/>
    <n v="1428153.05"/>
    <n v="516599.796875"/>
  </r>
  <r>
    <x v="94"/>
    <x v="2"/>
    <n v="48"/>
    <n v="24"/>
    <n v="2"/>
    <n v="2.349609375"/>
    <n v="2.349609375"/>
    <n v="3.4830230248919571"/>
    <n v="2.3963470565412313"/>
    <n v="1.0321841632521245"/>
    <n v="1.3316854943068536E-2"/>
    <n v="96.516976975108037"/>
    <n v="49697.11"/>
    <n v="1377141.29"/>
    <n v="1426838.4"/>
    <n v="516599.796875"/>
  </r>
  <r>
    <x v="94"/>
    <x v="3"/>
    <n v="48"/>
    <n v="24"/>
    <n v="2"/>
    <n v="1.6396484375"/>
    <n v="1.6396484375"/>
    <n v="2.6534397706667887"/>
    <n v="1.6510309795416906"/>
    <n v="0.98403222996265682"/>
    <n v="1.7197050818135676E-2"/>
    <n v="97.346560229333207"/>
    <n v="37905.949999999997"/>
    <n v="1390652.95"/>
    <n v="1428558.9"/>
    <n v="451959.83203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9" cacheId="69" applyNumberFormats="0" applyBorderFormats="0" applyFontFormats="0" applyPatternFormats="0" applyAlignmentFormats="0" applyWidthHeightFormats="1" dataCaption="Data" updatedVersion="4" showItems="0" showMultipleLabel="0" showMemberPropertyTips="0" useAutoFormatting="1" itemPrintTitles="1" showDropZones="0" indent="0" compact="0" compactData="0" gridDropZones="1" chartFormat="1">
  <location ref="A3:C100" firstHeaderRow="1" firstDataRow="2" firstDataCol="1" rowPageCount="1" colPageCount="1"/>
  <pivotFields count="16">
    <pivotField axis="axisRow" compact="0" numFmtId="22" outline="0" subtotalTop="0" showAll="0" includeNewItemsInFilter="1">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axis="axisPage" compact="0" outline="0" subtotalTop="0" showAll="0" includeNewItemsInFilter="1">
      <items count="5">
        <item x="0"/>
        <item x="1"/>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9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t="grand">
      <x/>
    </i>
  </rowItems>
  <colFields count="1">
    <field x="-2"/>
  </colFields>
  <colItems count="2">
    <i>
      <x/>
    </i>
    <i i="1">
      <x v="1"/>
    </i>
  </colItems>
  <pageFields count="1">
    <pageField fld="1" item="1" hier="-1"/>
  </pageFields>
  <dataFields count="2">
    <dataField name="Average of Busy %" fld="7" subtotal="average" baseField="0" baseItem="0"/>
    <dataField name="Sum of Usr %" fld="8"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queryTables/queryTable1.xml><?xml version="1.0" encoding="utf-8"?>
<queryTable xmlns="http://schemas.openxmlformats.org/spreadsheetml/2006/main" name="AWR_data" growShrinkType="overwriteClear" connectionId="1" autoFormatId="16" applyNumberFormats="0" applyBorderFormats="0" applyFontFormats="1" applyPatternFormats="1" applyAlignmentFormats="0" applyWidthHeightFormats="0">
  <queryTableRefresh preserveSortFilterLayout="0" nextId="17">
    <queryTableFields count="16">
      <queryTableField id="1" name="SNAP_TIME"/>
      <queryTableField id="2" name="INSTANCE_NUMBER"/>
      <queryTableField id="3" name="CPUs"/>
      <queryTableField id="4" name="CORES"/>
      <queryTableField id="5" name="SOCKETS"/>
      <queryTableField id="6" name="Begin Load"/>
      <queryTableField id="7" name="End Load"/>
      <queryTableField id="8" name="Busy %"/>
      <queryTableField id="9" name="Usr %"/>
      <queryTableField id="10" name="Sys %"/>
      <queryTableField id="11" name="WIO %"/>
      <queryTableField id="12" name="Idl %"/>
      <queryTableField id="13" name="Busy Time(s)"/>
      <queryTableField id="14" name="Idle Time(s)"/>
      <queryTableField id="15" name="Total Time(s)"/>
      <queryTableField id="16" name="Memory(MB)"/>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youtu.be/sdvx4zB-fvo" TargetMode="External"/><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3"/>
  <sheetViews>
    <sheetView showGridLines="0" tabSelected="1" zoomScaleNormal="100" workbookViewId="0">
      <selection activeCell="H24" sqref="H24"/>
    </sheetView>
  </sheetViews>
  <sheetFormatPr defaultRowHeight="18.600000000000001" customHeight="1" x14ac:dyDescent="0.25"/>
  <cols>
    <col min="1" max="1" width="7.28515625" customWidth="1"/>
    <col min="2" max="2" width="9.7109375" customWidth="1"/>
    <col min="3" max="3" width="9.140625" customWidth="1"/>
    <col min="4" max="4" width="7.7109375" customWidth="1"/>
    <col min="5" max="5" width="11.5703125" customWidth="1"/>
    <col min="6" max="6" width="48" customWidth="1"/>
    <col min="7" max="7" width="7.85546875" customWidth="1"/>
    <col min="8" max="8" width="84.140625" customWidth="1"/>
  </cols>
  <sheetData>
    <row r="2" spans="2:8" ht="18.600000000000001" customHeight="1" x14ac:dyDescent="0.25">
      <c r="H2" s="18" t="s">
        <v>77</v>
      </c>
    </row>
    <row r="3" spans="2:8" ht="18.600000000000001" customHeight="1" x14ac:dyDescent="0.25">
      <c r="E3" t="s">
        <v>5</v>
      </c>
      <c r="F3" t="s">
        <v>114</v>
      </c>
      <c r="H3" s="1" t="s">
        <v>78</v>
      </c>
    </row>
    <row r="4" spans="2:8" ht="18.600000000000001" customHeight="1" x14ac:dyDescent="0.25">
      <c r="E4" t="s">
        <v>6</v>
      </c>
      <c r="H4" s="10" t="s">
        <v>80</v>
      </c>
    </row>
    <row r="5" spans="2:8" ht="18.600000000000001" customHeight="1" x14ac:dyDescent="0.25">
      <c r="E5" t="s">
        <v>87</v>
      </c>
      <c r="F5" t="s">
        <v>115</v>
      </c>
      <c r="H5" s="17" t="s">
        <v>88</v>
      </c>
    </row>
    <row r="6" spans="2:8" ht="18.600000000000001" customHeight="1" x14ac:dyDescent="0.25">
      <c r="E6" t="s">
        <v>25</v>
      </c>
      <c r="F6" s="6"/>
      <c r="H6" s="10" t="s">
        <v>76</v>
      </c>
    </row>
    <row r="7" spans="2:8" ht="18.600000000000001" customHeight="1" x14ac:dyDescent="0.25">
      <c r="E7" t="s">
        <v>64</v>
      </c>
      <c r="F7" s="15" t="s">
        <v>124</v>
      </c>
      <c r="H7" s="11" t="s">
        <v>90</v>
      </c>
    </row>
    <row r="8" spans="2:8" ht="18.600000000000001" customHeight="1" x14ac:dyDescent="0.25">
      <c r="E8" t="s">
        <v>65</v>
      </c>
      <c r="F8" s="15" t="s">
        <v>125</v>
      </c>
      <c r="H8" s="11" t="s">
        <v>89</v>
      </c>
    </row>
    <row r="9" spans="2:8" ht="18.600000000000001" customHeight="1" x14ac:dyDescent="0.25">
      <c r="E9" t="s">
        <v>62</v>
      </c>
      <c r="F9" s="5" t="b">
        <f ca="1">IF(VALUE(RIGHT(INFO("OSVERSION"),4))&lt;=6.01,FALSE,TRUE)</f>
        <v>0</v>
      </c>
    </row>
    <row r="10" spans="2:8" ht="18.600000000000001" customHeight="1" x14ac:dyDescent="0.25">
      <c r="B10" t="s">
        <v>7</v>
      </c>
      <c r="C10" s="5" t="b">
        <v>1</v>
      </c>
      <c r="E10" s="16" t="s">
        <v>63</v>
      </c>
      <c r="F10" s="16" t="s">
        <v>67</v>
      </c>
      <c r="H10" s="12" t="s">
        <v>58</v>
      </c>
    </row>
    <row r="11" spans="2:8" ht="18.600000000000001" customHeight="1" x14ac:dyDescent="0.25">
      <c r="H11" s="13" t="s">
        <v>102</v>
      </c>
    </row>
    <row r="13" spans="2:8" ht="18.600000000000001" customHeight="1" x14ac:dyDescent="0.25">
      <c r="H13" s="1" t="s">
        <v>66</v>
      </c>
    </row>
    <row r="14" spans="2:8" ht="18.600000000000001" customHeight="1" x14ac:dyDescent="0.25">
      <c r="H14" t="s">
        <v>56</v>
      </c>
    </row>
    <row r="15" spans="2:8" ht="18.600000000000001" customHeight="1" x14ac:dyDescent="0.25">
      <c r="H15" s="10" t="s">
        <v>68</v>
      </c>
    </row>
    <row r="16" spans="2:8" ht="18.600000000000001" customHeight="1" x14ac:dyDescent="0.25">
      <c r="H16" s="11" t="s">
        <v>94</v>
      </c>
    </row>
    <row r="17" spans="2:11" ht="18.600000000000001" customHeight="1" x14ac:dyDescent="0.25">
      <c r="H17" s="11" t="s">
        <v>95</v>
      </c>
    </row>
    <row r="18" spans="2:11" ht="18.600000000000001" customHeight="1" x14ac:dyDescent="0.25">
      <c r="H18" t="s">
        <v>57</v>
      </c>
    </row>
    <row r="19" spans="2:11" ht="16.149999999999999" customHeight="1" x14ac:dyDescent="0.25">
      <c r="B19" t="s">
        <v>34</v>
      </c>
      <c r="F19" t="s">
        <v>69</v>
      </c>
      <c r="H19" s="11" t="s">
        <v>96</v>
      </c>
    </row>
    <row r="20" spans="2:11" ht="18.600000000000001" customHeight="1" x14ac:dyDescent="0.25">
      <c r="C20" s="5" t="b">
        <v>1</v>
      </c>
      <c r="F20" t="s">
        <v>70</v>
      </c>
      <c r="H20" s="11"/>
    </row>
    <row r="23" spans="2:11" ht="18.600000000000001" customHeight="1" x14ac:dyDescent="0.25">
      <c r="K23" s="1"/>
    </row>
  </sheetData>
  <conditionalFormatting sqref="E10:F10">
    <cfRule type="expression" dxfId="0" priority="1">
      <formula>NOT($F$9)</formula>
    </cfRule>
  </conditionalFormatting>
  <hyperlinks>
    <hyperlink ref="H11"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2" r:id="rId5" name="PassBox">
          <controlPr defaultSize="0" autoLine="0" r:id="rId6">
            <anchor moveWithCells="1">
              <from>
                <xdr:col>4</xdr:col>
                <xdr:colOff>733425</xdr:colOff>
                <xdr:row>3</xdr:row>
                <xdr:rowOff>38100</xdr:rowOff>
              </from>
              <to>
                <xdr:col>7</xdr:col>
                <xdr:colOff>247650</xdr:colOff>
                <xdr:row>4</xdr:row>
                <xdr:rowOff>47625</xdr:rowOff>
              </to>
            </anchor>
          </controlPr>
        </control>
      </mc:Choice>
      <mc:Fallback>
        <control shapeId="1032" r:id="rId5" name="PassBox"/>
      </mc:Fallback>
    </mc:AlternateContent>
    <mc:AlternateContent xmlns:mc="http://schemas.openxmlformats.org/markup-compatibility/2006">
      <mc:Choice Requires="x14">
        <control shapeId="1033" r:id="rId7" name="Query_selection_ComboBox">
          <controlPr defaultSize="0" autoLine="0" listFillRange="Queries!A11:A33" r:id="rId8">
            <anchor moveWithCells="1">
              <from>
                <xdr:col>4</xdr:col>
                <xdr:colOff>742950</xdr:colOff>
                <xdr:row>5</xdr:row>
                <xdr:rowOff>19050</xdr:rowOff>
              </from>
              <to>
                <xdr:col>5</xdr:col>
                <xdr:colOff>3171825</xdr:colOff>
                <xdr:row>6</xdr:row>
                <xdr:rowOff>47625</xdr:rowOff>
              </to>
            </anchor>
          </controlPr>
        </control>
      </mc:Choice>
      <mc:Fallback>
        <control shapeId="1033" r:id="rId7" name="Query_selection_ComboBox"/>
      </mc:Fallback>
    </mc:AlternateContent>
    <mc:AlternateContent xmlns:mc="http://schemas.openxmlformats.org/markup-compatibility/2006">
      <mc:Choice Requires="x14">
        <control shapeId="1027" r:id="rId9" name="Check Box 3">
          <controlPr locked="0" defaultSize="0" autoFill="0" autoLine="0" autoPict="0" altText="">
            <anchor moveWithCells="1">
              <from>
                <xdr:col>2</xdr:col>
                <xdr:colOff>419100</xdr:colOff>
                <xdr:row>18</xdr:row>
                <xdr:rowOff>190500</xdr:rowOff>
              </from>
              <to>
                <xdr:col>3</xdr:col>
                <xdr:colOff>57150</xdr:colOff>
                <xdr:row>20</xdr:row>
                <xdr:rowOff>57150</xdr:rowOff>
              </to>
            </anchor>
          </controlPr>
        </control>
      </mc:Choice>
    </mc:AlternateContent>
    <mc:AlternateContent xmlns:mc="http://schemas.openxmlformats.org/markup-compatibility/2006">
      <mc:Choice Requires="x14">
        <control shapeId="1028" r:id="rId10" name="Check Box 4">
          <controlPr locked="0" defaultSize="0" autoFill="0" autoLine="0" autoPict="0" altText="">
            <anchor moveWithCells="1">
              <from>
                <xdr:col>2</xdr:col>
                <xdr:colOff>447675</xdr:colOff>
                <xdr:row>9</xdr:row>
                <xdr:rowOff>0</xdr:rowOff>
              </from>
              <to>
                <xdr:col>3</xdr:col>
                <xdr:colOff>47625</xdr:colOff>
                <xdr:row>10</xdr:row>
                <xdr:rowOff>57150</xdr:rowOff>
              </to>
            </anchor>
          </controlPr>
        </control>
      </mc:Choice>
    </mc:AlternateContent>
    <mc:AlternateContent xmlns:mc="http://schemas.openxmlformats.org/markup-compatibility/2006">
      <mc:Choice Requires="x14">
        <control shapeId="1046" r:id="rId11" name="Check Box 22">
          <controlPr locked="0" defaultSize="0" autoFill="0" autoLine="0" autoPict="0" altText="">
            <anchor moveWithCells="1">
              <from>
                <xdr:col>5</xdr:col>
                <xdr:colOff>409575</xdr:colOff>
                <xdr:row>8</xdr:row>
                <xdr:rowOff>28575</xdr:rowOff>
              </from>
              <to>
                <xdr:col>5</xdr:col>
                <xdr:colOff>647700</xdr:colOff>
                <xdr:row>9</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35"/>
  <sheetViews>
    <sheetView workbookViewId="0">
      <selection activeCell="A11" sqref="A11"/>
    </sheetView>
  </sheetViews>
  <sheetFormatPr defaultRowHeight="15" x14ac:dyDescent="0.25"/>
  <cols>
    <col min="1" max="1" width="99" bestFit="1" customWidth="1"/>
    <col min="2" max="2" width="68.140625" customWidth="1"/>
    <col min="3" max="3" width="61.42578125" customWidth="1"/>
    <col min="4" max="4" width="63.7109375" bestFit="1" customWidth="1"/>
    <col min="5" max="5" width="60.7109375" bestFit="1" customWidth="1"/>
  </cols>
  <sheetData>
    <row r="2" spans="1:5" x14ac:dyDescent="0.25">
      <c r="A2" t="s">
        <v>20</v>
      </c>
      <c r="C2" t="s">
        <v>29</v>
      </c>
    </row>
    <row r="3" spans="1:5" x14ac:dyDescent="0.25">
      <c r="A3" t="s">
        <v>19</v>
      </c>
      <c r="C3" t="s">
        <v>30</v>
      </c>
    </row>
    <row r="5" spans="1:5" x14ac:dyDescent="0.25">
      <c r="A5" t="s">
        <v>12</v>
      </c>
    </row>
    <row r="6" spans="1:5" x14ac:dyDescent="0.25">
      <c r="A6" t="s">
        <v>13</v>
      </c>
    </row>
    <row r="9" spans="1:5" ht="30" customHeight="1" x14ac:dyDescent="0.25">
      <c r="A9" s="4" t="s">
        <v>8</v>
      </c>
      <c r="B9" s="4" t="s">
        <v>9</v>
      </c>
      <c r="C9" s="4" t="s">
        <v>31</v>
      </c>
      <c r="D9" s="4" t="s">
        <v>24</v>
      </c>
      <c r="E9" s="4" t="s">
        <v>40</v>
      </c>
    </row>
    <row r="10" spans="1:5" ht="30" customHeight="1" x14ac:dyDescent="0.25">
      <c r="A10" s="2" t="s">
        <v>18</v>
      </c>
      <c r="B10" s="2" t="s">
        <v>11</v>
      </c>
      <c r="C10" s="2" t="s">
        <v>22</v>
      </c>
      <c r="D10" s="3" t="s">
        <v>14</v>
      </c>
      <c r="E10" s="2"/>
    </row>
    <row r="11" spans="1:5" s="20" customFormat="1" ht="30" customHeight="1" x14ac:dyDescent="0.25">
      <c r="A11" s="23" t="s">
        <v>154</v>
      </c>
      <c r="B11" s="23"/>
      <c r="C11" s="23" t="s">
        <v>155</v>
      </c>
      <c r="D11" s="24" t="s">
        <v>156</v>
      </c>
      <c r="E11" s="23" t="s">
        <v>157</v>
      </c>
    </row>
    <row r="12" spans="1:5" ht="30" customHeight="1" x14ac:dyDescent="0.25">
      <c r="A12" s="2" t="s">
        <v>33</v>
      </c>
      <c r="B12" s="2" t="s">
        <v>91</v>
      </c>
      <c r="C12" s="2" t="s">
        <v>50</v>
      </c>
      <c r="D12" s="3" t="s">
        <v>4</v>
      </c>
      <c r="E12" s="9" t="s">
        <v>42</v>
      </c>
    </row>
    <row r="13" spans="1:5" ht="30" customHeight="1" x14ac:dyDescent="0.25">
      <c r="A13" s="2" t="s">
        <v>21</v>
      </c>
      <c r="B13" s="2" t="s">
        <v>99</v>
      </c>
      <c r="C13" s="2" t="s">
        <v>48</v>
      </c>
      <c r="D13" s="3" t="s">
        <v>1</v>
      </c>
      <c r="E13" s="9" t="s">
        <v>44</v>
      </c>
    </row>
    <row r="14" spans="1:5" ht="30" customHeight="1" x14ac:dyDescent="0.25">
      <c r="A14" s="2" t="s">
        <v>28</v>
      </c>
      <c r="B14" s="2" t="s">
        <v>101</v>
      </c>
      <c r="C14" s="2" t="s">
        <v>47</v>
      </c>
      <c r="D14" s="3" t="s">
        <v>2</v>
      </c>
      <c r="E14" s="9" t="s">
        <v>45</v>
      </c>
    </row>
    <row r="15" spans="1:5" ht="30" customHeight="1" x14ac:dyDescent="0.25">
      <c r="A15" s="2" t="s">
        <v>53</v>
      </c>
      <c r="B15" s="2" t="s">
        <v>98</v>
      </c>
      <c r="C15" s="2" t="s">
        <v>54</v>
      </c>
      <c r="D15" s="14" t="s">
        <v>51</v>
      </c>
      <c r="E15" s="9" t="s">
        <v>52</v>
      </c>
    </row>
    <row r="16" spans="1:5" ht="30" customHeight="1" x14ac:dyDescent="0.25">
      <c r="A16" s="2" t="s">
        <v>82</v>
      </c>
      <c r="B16" s="2" t="s">
        <v>97</v>
      </c>
      <c r="C16" s="2" t="s">
        <v>61</v>
      </c>
      <c r="D16" s="14" t="s">
        <v>59</v>
      </c>
      <c r="E16" s="9" t="s">
        <v>60</v>
      </c>
    </row>
    <row r="17" spans="1:5" ht="30" customHeight="1" x14ac:dyDescent="0.25">
      <c r="A17" s="2" t="s">
        <v>81</v>
      </c>
      <c r="B17" s="2" t="s">
        <v>92</v>
      </c>
      <c r="C17" s="2" t="s">
        <v>79</v>
      </c>
      <c r="D17" s="3" t="s">
        <v>3</v>
      </c>
      <c r="E17" s="9" t="s">
        <v>41</v>
      </c>
    </row>
    <row r="18" spans="1:5" ht="30" customHeight="1" x14ac:dyDescent="0.25">
      <c r="A18" s="2" t="s">
        <v>32</v>
      </c>
      <c r="B18" s="2" t="s">
        <v>100</v>
      </c>
      <c r="C18" s="2" t="s">
        <v>49</v>
      </c>
      <c r="D18" s="3" t="s">
        <v>0</v>
      </c>
      <c r="E18" s="9" t="s">
        <v>43</v>
      </c>
    </row>
    <row r="19" spans="1:5" ht="30" customHeight="1" x14ac:dyDescent="0.25">
      <c r="A19" s="2" t="s">
        <v>86</v>
      </c>
      <c r="B19" s="2" t="s">
        <v>93</v>
      </c>
      <c r="C19" s="8" t="s">
        <v>85</v>
      </c>
      <c r="D19" s="3" t="s">
        <v>83</v>
      </c>
      <c r="E19" s="9" t="s">
        <v>84</v>
      </c>
    </row>
    <row r="20" spans="1:5" s="20" customFormat="1" ht="30" customHeight="1" x14ac:dyDescent="0.25">
      <c r="A20" s="43" t="s">
        <v>116</v>
      </c>
      <c r="B20" s="23"/>
      <c r="C20" s="25"/>
      <c r="D20" s="24"/>
      <c r="E20" s="26"/>
    </row>
    <row r="21" spans="1:5" s="20" customFormat="1" ht="30" customHeight="1" x14ac:dyDescent="0.25">
      <c r="A21" s="23" t="s">
        <v>121</v>
      </c>
      <c r="B21" s="23"/>
      <c r="C21" s="25" t="s">
        <v>129</v>
      </c>
      <c r="D21" s="24" t="s">
        <v>122</v>
      </c>
      <c r="E21" s="26" t="s">
        <v>123</v>
      </c>
    </row>
    <row r="22" spans="1:5" s="20" customFormat="1" ht="30" customHeight="1" x14ac:dyDescent="0.25">
      <c r="A22" s="23" t="s">
        <v>127</v>
      </c>
      <c r="B22" s="23"/>
      <c r="C22" s="25" t="s">
        <v>128</v>
      </c>
      <c r="D22" s="24" t="s">
        <v>132</v>
      </c>
      <c r="E22" s="26" t="s">
        <v>133</v>
      </c>
    </row>
    <row r="23" spans="1:5" s="20" customFormat="1" ht="30" customHeight="1" x14ac:dyDescent="0.25">
      <c r="A23" s="23" t="s">
        <v>134</v>
      </c>
      <c r="B23" s="23"/>
      <c r="C23" s="25" t="s">
        <v>135</v>
      </c>
      <c r="D23" s="24" t="s">
        <v>131</v>
      </c>
      <c r="E23" s="26" t="s">
        <v>130</v>
      </c>
    </row>
    <row r="24" spans="1:5" s="20" customFormat="1" ht="30" customHeight="1" x14ac:dyDescent="0.25">
      <c r="A24" s="23" t="s">
        <v>136</v>
      </c>
      <c r="B24" s="23"/>
      <c r="C24" s="25" t="s">
        <v>139</v>
      </c>
      <c r="D24" s="24" t="s">
        <v>137</v>
      </c>
      <c r="E24" s="26" t="s">
        <v>138</v>
      </c>
    </row>
    <row r="25" spans="1:5" s="20" customFormat="1" ht="30" customHeight="1" x14ac:dyDescent="0.25">
      <c r="A25" s="23" t="s">
        <v>140</v>
      </c>
      <c r="B25" s="23"/>
      <c r="C25" s="25" t="s">
        <v>141</v>
      </c>
      <c r="D25" s="24" t="s">
        <v>142</v>
      </c>
      <c r="E25" s="26" t="s">
        <v>143</v>
      </c>
    </row>
    <row r="26" spans="1:5" s="20" customFormat="1" ht="30" customHeight="1" x14ac:dyDescent="0.25">
      <c r="A26" s="43" t="s">
        <v>117</v>
      </c>
      <c r="B26" s="23"/>
      <c r="C26" s="25"/>
      <c r="D26" s="24"/>
      <c r="E26" s="26"/>
    </row>
    <row r="27" spans="1:5" s="20" customFormat="1" ht="30" customHeight="1" x14ac:dyDescent="0.25">
      <c r="A27" s="23" t="s">
        <v>144</v>
      </c>
      <c r="B27" s="23"/>
      <c r="C27" s="25" t="s">
        <v>145</v>
      </c>
      <c r="D27" s="24" t="s">
        <v>146</v>
      </c>
      <c r="E27" s="26" t="s">
        <v>147</v>
      </c>
    </row>
    <row r="28" spans="1:5" ht="30" customHeight="1" x14ac:dyDescent="0.25">
      <c r="A28" s="23" t="s">
        <v>119</v>
      </c>
      <c r="B28" s="23" t="s">
        <v>103</v>
      </c>
      <c r="C28" s="25" t="s">
        <v>104</v>
      </c>
      <c r="D28" s="24" t="s">
        <v>108</v>
      </c>
      <c r="E28" s="26" t="s">
        <v>109</v>
      </c>
    </row>
    <row r="29" spans="1:5" s="20" customFormat="1" ht="30" customHeight="1" x14ac:dyDescent="0.25">
      <c r="A29" s="23" t="s">
        <v>118</v>
      </c>
      <c r="B29" s="23"/>
      <c r="C29" s="25"/>
      <c r="D29" s="24"/>
      <c r="E29" s="26"/>
    </row>
    <row r="30" spans="1:5" s="20" customFormat="1" ht="30" customHeight="1" x14ac:dyDescent="0.25">
      <c r="A30" s="23" t="s">
        <v>120</v>
      </c>
      <c r="B30" s="23" t="s">
        <v>110</v>
      </c>
      <c r="C30" s="25" t="s">
        <v>113</v>
      </c>
      <c r="D30" s="24" t="s">
        <v>111</v>
      </c>
      <c r="E30" s="26" t="s">
        <v>112</v>
      </c>
    </row>
    <row r="31" spans="1:5" s="20" customFormat="1" ht="30" customHeight="1" x14ac:dyDescent="0.25">
      <c r="A31" s="23" t="s">
        <v>148</v>
      </c>
      <c r="B31" s="23"/>
      <c r="C31" s="25" t="s">
        <v>153</v>
      </c>
      <c r="D31" s="24" t="s">
        <v>151</v>
      </c>
      <c r="E31" s="26" t="s">
        <v>152</v>
      </c>
    </row>
    <row r="32" spans="1:5" s="20" customFormat="1" ht="30" customHeight="1" x14ac:dyDescent="0.25">
      <c r="A32" s="23" t="s">
        <v>149</v>
      </c>
      <c r="B32" s="23"/>
      <c r="C32" s="25"/>
      <c r="D32" s="24"/>
      <c r="E32" s="26"/>
    </row>
    <row r="33" spans="1:5" s="20" customFormat="1" ht="30" customHeight="1" x14ac:dyDescent="0.25">
      <c r="A33" s="23" t="s">
        <v>150</v>
      </c>
      <c r="B33" s="23"/>
      <c r="C33" s="25"/>
      <c r="D33" s="24"/>
      <c r="E33" s="26"/>
    </row>
    <row r="34" spans="1:5" ht="36" customHeight="1" x14ac:dyDescent="0.25">
      <c r="A34" s="23" t="s">
        <v>36</v>
      </c>
      <c r="B34" s="23" t="s">
        <v>37</v>
      </c>
      <c r="C34" s="23" t="s">
        <v>38</v>
      </c>
      <c r="D34" s="27"/>
      <c r="E34" s="20"/>
    </row>
    <row r="35" spans="1:5" ht="60" x14ac:dyDescent="0.25">
      <c r="A35" s="23" t="s">
        <v>39</v>
      </c>
      <c r="B35" s="23" t="s">
        <v>26</v>
      </c>
      <c r="C35" s="22" t="s">
        <v>27</v>
      </c>
      <c r="D35" s="24" t="s">
        <v>23</v>
      </c>
      <c r="E35" s="20"/>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381"/>
  <sheetViews>
    <sheetView workbookViewId="0">
      <selection activeCell="C1" sqref="C1"/>
    </sheetView>
  </sheetViews>
  <sheetFormatPr defaultRowHeight="15" x14ac:dyDescent="0.25"/>
  <cols>
    <col min="1" max="1" width="13.85546875" bestFit="1" customWidth="1"/>
    <col min="2" max="2" width="19.140625" bestFit="1" customWidth="1"/>
    <col min="3" max="3" width="5.5703125" bestFit="1" customWidth="1"/>
    <col min="4" max="4" width="6.7109375" bestFit="1" customWidth="1"/>
    <col min="5" max="5" width="8.7109375" bestFit="1" customWidth="1"/>
    <col min="6" max="12" width="12" bestFit="1" customWidth="1"/>
    <col min="13" max="13" width="12.28515625" bestFit="1" customWidth="1"/>
    <col min="14" max="14" width="12" bestFit="1" customWidth="1"/>
    <col min="15" max="15" width="12.5703125" bestFit="1" customWidth="1"/>
    <col min="16" max="16" width="13.140625" bestFit="1" customWidth="1"/>
    <col min="17" max="18" width="18.5703125" customWidth="1"/>
    <col min="19" max="19" width="19.28515625" bestFit="1" customWidth="1"/>
    <col min="20" max="20" width="19" bestFit="1" customWidth="1"/>
    <col min="21" max="21" width="11" bestFit="1" customWidth="1"/>
  </cols>
  <sheetData>
    <row r="1" spans="1:16" x14ac:dyDescent="0.25">
      <c r="A1" s="21" t="s">
        <v>105</v>
      </c>
      <c r="B1" s="21" t="s">
        <v>106</v>
      </c>
      <c r="C1" s="21" t="s">
        <v>158</v>
      </c>
      <c r="D1" s="21" t="s">
        <v>159</v>
      </c>
      <c r="E1" s="21" t="s">
        <v>160</v>
      </c>
      <c r="F1" s="21" t="s">
        <v>161</v>
      </c>
      <c r="G1" s="21" t="s">
        <v>162</v>
      </c>
      <c r="H1" s="21" t="s">
        <v>163</v>
      </c>
      <c r="I1" s="21" t="s">
        <v>164</v>
      </c>
      <c r="J1" s="21" t="s">
        <v>165</v>
      </c>
      <c r="K1" s="21" t="s">
        <v>166</v>
      </c>
      <c r="L1" s="21" t="s">
        <v>167</v>
      </c>
      <c r="M1" s="21" t="s">
        <v>168</v>
      </c>
      <c r="N1" s="21" t="s">
        <v>169</v>
      </c>
      <c r="O1" s="21" t="s">
        <v>170</v>
      </c>
      <c r="P1" s="21" t="s">
        <v>171</v>
      </c>
    </row>
    <row r="2" spans="1:16" x14ac:dyDescent="0.25">
      <c r="A2" s="28">
        <v>42127.875405092593</v>
      </c>
      <c r="B2">
        <v>1</v>
      </c>
      <c r="C2">
        <v>48</v>
      </c>
      <c r="D2">
        <v>24</v>
      </c>
      <c r="E2">
        <v>2</v>
      </c>
      <c r="F2">
        <v>2.7890625</v>
      </c>
      <c r="G2">
        <v>2.7890625</v>
      </c>
      <c r="H2">
        <v>5.4715942737677601</v>
      </c>
      <c r="I2">
        <v>3.7606794292450547</v>
      </c>
      <c r="J2">
        <v>1.608644738360784</v>
      </c>
      <c r="K2">
        <v>7.6134942275040201E-3</v>
      </c>
      <c r="L2">
        <v>94.528405726232236</v>
      </c>
      <c r="M2">
        <v>527748.55000000005</v>
      </c>
      <c r="N2">
        <v>9117494.1999999993</v>
      </c>
      <c r="O2">
        <v>9645242.75</v>
      </c>
      <c r="P2">
        <v>516599.796875</v>
      </c>
    </row>
    <row r="3" spans="1:16" x14ac:dyDescent="0.25">
      <c r="A3" s="28">
        <v>42127.875405092593</v>
      </c>
      <c r="B3">
        <v>2</v>
      </c>
      <c r="C3">
        <v>48</v>
      </c>
      <c r="D3">
        <v>24</v>
      </c>
      <c r="E3">
        <v>2</v>
      </c>
      <c r="F3">
        <v>6.6591796875</v>
      </c>
      <c r="G3">
        <v>6.6591796875</v>
      </c>
      <c r="H3">
        <v>6.3962173649497469</v>
      </c>
      <c r="I3">
        <v>4.8077871723870738</v>
      </c>
      <c r="J3">
        <v>1.5191491158793615</v>
      </c>
      <c r="K3">
        <v>7.5066980521688751E-3</v>
      </c>
      <c r="L3">
        <v>93.603782635050251</v>
      </c>
      <c r="M3">
        <v>617544.81999999995</v>
      </c>
      <c r="N3">
        <v>9037299.3599999994</v>
      </c>
      <c r="O3">
        <v>9654844.1799999997</v>
      </c>
      <c r="P3">
        <v>516599.796875</v>
      </c>
    </row>
    <row r="4" spans="1:16" x14ac:dyDescent="0.25">
      <c r="A4" s="28">
        <v>42127.875405092593</v>
      </c>
      <c r="B4">
        <v>3</v>
      </c>
      <c r="C4">
        <v>48</v>
      </c>
      <c r="D4">
        <v>24</v>
      </c>
      <c r="E4">
        <v>2</v>
      </c>
      <c r="F4">
        <v>7.759765625</v>
      </c>
      <c r="G4">
        <v>7.759765625</v>
      </c>
      <c r="H4">
        <v>6.7350470725525255</v>
      </c>
      <c r="I4">
        <v>5.2917234459546885</v>
      </c>
      <c r="J4">
        <v>1.3610840289228094</v>
      </c>
      <c r="K4">
        <v>1.2883783752401111E-2</v>
      </c>
      <c r="L4">
        <v>93.264952927447467</v>
      </c>
      <c r="M4">
        <v>649631.39</v>
      </c>
      <c r="N4">
        <v>8995904.6099999994</v>
      </c>
      <c r="O4">
        <v>9645536</v>
      </c>
      <c r="P4">
        <v>516599.796875</v>
      </c>
    </row>
    <row r="5" spans="1:16" x14ac:dyDescent="0.25">
      <c r="A5" s="28">
        <v>42127.875405092593</v>
      </c>
      <c r="B5">
        <v>4</v>
      </c>
      <c r="C5">
        <v>48</v>
      </c>
      <c r="D5">
        <v>24</v>
      </c>
      <c r="E5">
        <v>2</v>
      </c>
      <c r="F5">
        <v>2.359375</v>
      </c>
      <c r="G5">
        <v>2.359375</v>
      </c>
      <c r="H5">
        <v>3.4474156856622744</v>
      </c>
      <c r="I5">
        <v>2.2610621032165352</v>
      </c>
      <c r="J5">
        <v>1.1502024779001274</v>
      </c>
      <c r="K5">
        <v>1.5170477966772769E-2</v>
      </c>
      <c r="L5">
        <v>96.552584314337722</v>
      </c>
      <c r="M5">
        <v>333168.48</v>
      </c>
      <c r="N5">
        <v>9331128.2100000009</v>
      </c>
      <c r="O5">
        <v>9664296.6899999995</v>
      </c>
      <c r="P5">
        <v>451959.83203125</v>
      </c>
    </row>
    <row r="6" spans="1:16" x14ac:dyDescent="0.25">
      <c r="A6" s="28">
        <v>42127.885833333334</v>
      </c>
      <c r="B6">
        <v>1</v>
      </c>
      <c r="C6">
        <v>48</v>
      </c>
      <c r="D6">
        <v>24</v>
      </c>
      <c r="E6">
        <v>2</v>
      </c>
      <c r="F6">
        <v>2.419921875</v>
      </c>
      <c r="G6">
        <v>2.419921875</v>
      </c>
      <c r="H6">
        <v>5.491533418758956</v>
      </c>
      <c r="I6">
        <v>3.776101592940603</v>
      </c>
      <c r="J6">
        <v>1.6123773939570853</v>
      </c>
      <c r="K6">
        <v>7.6034523249124443E-3</v>
      </c>
      <c r="L6">
        <v>94.508466581241038</v>
      </c>
      <c r="M6">
        <v>532017.98</v>
      </c>
      <c r="N6">
        <v>9155949.6500000004</v>
      </c>
      <c r="O6">
        <v>9687967.6300000008</v>
      </c>
      <c r="P6">
        <v>516599.796875</v>
      </c>
    </row>
    <row r="7" spans="1:16" x14ac:dyDescent="0.25">
      <c r="A7" s="28">
        <v>42127.885833333334</v>
      </c>
      <c r="B7">
        <v>2</v>
      </c>
      <c r="C7">
        <v>48</v>
      </c>
      <c r="D7">
        <v>24</v>
      </c>
      <c r="E7">
        <v>2</v>
      </c>
      <c r="F7">
        <v>7.2099609375</v>
      </c>
      <c r="G7">
        <v>7.2099609375</v>
      </c>
      <c r="H7">
        <v>6.4649883559044703</v>
      </c>
      <c r="I7">
        <v>4.8706370743826559</v>
      </c>
      <c r="J7">
        <v>1.5242644037928932</v>
      </c>
      <c r="K7">
        <v>7.4989374743623547E-3</v>
      </c>
      <c r="L7">
        <v>93.535011644095533</v>
      </c>
      <c r="M7">
        <v>626942.71</v>
      </c>
      <c r="N7">
        <v>9070564.4700000007</v>
      </c>
      <c r="O7">
        <v>9697507.1799999997</v>
      </c>
      <c r="P7">
        <v>516599.796875</v>
      </c>
    </row>
    <row r="8" spans="1:16" x14ac:dyDescent="0.25">
      <c r="A8" s="28">
        <v>42127.885833333334</v>
      </c>
      <c r="B8">
        <v>3</v>
      </c>
      <c r="C8">
        <v>48</v>
      </c>
      <c r="D8">
        <v>24</v>
      </c>
      <c r="E8">
        <v>2</v>
      </c>
      <c r="F8">
        <v>7.5791015625</v>
      </c>
      <c r="G8">
        <v>7.5791015625</v>
      </c>
      <c r="H8">
        <v>6.8094880987512445</v>
      </c>
      <c r="I8">
        <v>5.3593583392079838</v>
      </c>
      <c r="J8">
        <v>1.366923221526529</v>
      </c>
      <c r="K8">
        <v>1.2872059822846159E-2</v>
      </c>
      <c r="L8">
        <v>93.190511901248755</v>
      </c>
      <c r="M8">
        <v>659716.35</v>
      </c>
      <c r="N8">
        <v>9028476.6600000001</v>
      </c>
      <c r="O8">
        <v>9688193.0099999998</v>
      </c>
      <c r="P8">
        <v>516599.796875</v>
      </c>
    </row>
    <row r="9" spans="1:16" x14ac:dyDescent="0.25">
      <c r="A9" s="28">
        <v>42127.885833333334</v>
      </c>
      <c r="B9">
        <v>4</v>
      </c>
      <c r="C9">
        <v>48</v>
      </c>
      <c r="D9">
        <v>24</v>
      </c>
      <c r="E9">
        <v>2</v>
      </c>
      <c r="F9">
        <v>2.3193359375</v>
      </c>
      <c r="G9">
        <v>2.3193359375</v>
      </c>
      <c r="H9">
        <v>3.4505752841420074</v>
      </c>
      <c r="I9">
        <v>2.2637986057549209</v>
      </c>
      <c r="J9">
        <v>1.1505463416558179</v>
      </c>
      <c r="K9">
        <v>1.5167217626588063E-2</v>
      </c>
      <c r="L9">
        <v>96.549424715857995</v>
      </c>
      <c r="M9">
        <v>334956.03000000003</v>
      </c>
      <c r="N9">
        <v>9372295.7300000004</v>
      </c>
      <c r="O9">
        <v>9707251.7599999998</v>
      </c>
      <c r="P9">
        <v>451959.83203125</v>
      </c>
    </row>
    <row r="10" spans="1:16" x14ac:dyDescent="0.25">
      <c r="A10" s="28">
        <v>42127.896261574075</v>
      </c>
      <c r="B10">
        <v>1</v>
      </c>
      <c r="C10">
        <v>48</v>
      </c>
      <c r="D10">
        <v>24</v>
      </c>
      <c r="E10">
        <v>2</v>
      </c>
      <c r="F10">
        <v>3.0498046875</v>
      </c>
      <c r="G10">
        <v>3.0498046875</v>
      </c>
      <c r="H10">
        <v>5.5139316941515286</v>
      </c>
      <c r="I10">
        <v>3.7934141266053669</v>
      </c>
      <c r="J10">
        <v>1.6165739217282669</v>
      </c>
      <c r="K10">
        <v>7.5962857661846161E-3</v>
      </c>
      <c r="L10">
        <v>94.486068305848477</v>
      </c>
      <c r="M10">
        <v>536542.86</v>
      </c>
      <c r="N10">
        <v>9194133.7200000007</v>
      </c>
      <c r="O10">
        <v>9730676.5800000001</v>
      </c>
      <c r="P10">
        <v>516599.796875</v>
      </c>
    </row>
    <row r="11" spans="1:16" x14ac:dyDescent="0.25">
      <c r="A11" s="28">
        <v>42127.896261574075</v>
      </c>
      <c r="B11">
        <v>2</v>
      </c>
      <c r="C11">
        <v>48</v>
      </c>
      <c r="D11">
        <v>24</v>
      </c>
      <c r="E11">
        <v>2</v>
      </c>
      <c r="F11">
        <v>7.83984375</v>
      </c>
      <c r="G11">
        <v>7.83984375</v>
      </c>
      <c r="H11">
        <v>6.5401491069802278</v>
      </c>
      <c r="I11">
        <v>4.9393254423432191</v>
      </c>
      <c r="J11">
        <v>1.5298241003137036</v>
      </c>
      <c r="K11">
        <v>7.4896112880037408E-3</v>
      </c>
      <c r="L11">
        <v>93.459850893019777</v>
      </c>
      <c r="M11">
        <v>637020.88</v>
      </c>
      <c r="N11">
        <v>9103137.4800000004</v>
      </c>
      <c r="O11">
        <v>9740158.3599999994</v>
      </c>
      <c r="P11">
        <v>516599.796875</v>
      </c>
    </row>
    <row r="12" spans="1:16" x14ac:dyDescent="0.25">
      <c r="A12" s="28">
        <v>42127.896261574075</v>
      </c>
      <c r="B12">
        <v>3</v>
      </c>
      <c r="C12">
        <v>48</v>
      </c>
      <c r="D12">
        <v>24</v>
      </c>
      <c r="E12">
        <v>2</v>
      </c>
      <c r="F12">
        <v>8.349609375</v>
      </c>
      <c r="G12">
        <v>8.349609375</v>
      </c>
      <c r="H12">
        <v>6.8726863517241936</v>
      </c>
      <c r="I12">
        <v>5.4162756493833548</v>
      </c>
      <c r="J12">
        <v>1.3723191488301463</v>
      </c>
      <c r="K12">
        <v>1.2850577785960781E-2</v>
      </c>
      <c r="L12">
        <v>93.127313648275802</v>
      </c>
      <c r="M12">
        <v>668770.56000000006</v>
      </c>
      <c r="N12">
        <v>9062075.9499999993</v>
      </c>
      <c r="O12">
        <v>9730846.5099999998</v>
      </c>
      <c r="P12">
        <v>516599.796875</v>
      </c>
    </row>
    <row r="13" spans="1:16" x14ac:dyDescent="0.25">
      <c r="A13" s="28">
        <v>42127.896261574075</v>
      </c>
      <c r="B13">
        <v>4</v>
      </c>
      <c r="C13">
        <v>48</v>
      </c>
      <c r="D13">
        <v>24</v>
      </c>
      <c r="E13">
        <v>2</v>
      </c>
      <c r="F13">
        <v>1.7197265625</v>
      </c>
      <c r="G13">
        <v>1.7197265625</v>
      </c>
      <c r="H13">
        <v>3.4524067457761629</v>
      </c>
      <c r="I13">
        <v>2.2652563125925562</v>
      </c>
      <c r="J13">
        <v>1.1508592389407775</v>
      </c>
      <c r="K13">
        <v>1.5158065265467697E-2</v>
      </c>
      <c r="L13">
        <v>96.547593254223841</v>
      </c>
      <c r="M13">
        <v>336616.18</v>
      </c>
      <c r="N13">
        <v>9413572.7400000002</v>
      </c>
      <c r="O13">
        <v>9750188.9199999999</v>
      </c>
      <c r="P13">
        <v>451959.83203125</v>
      </c>
    </row>
    <row r="14" spans="1:16" x14ac:dyDescent="0.25">
      <c r="A14" s="28">
        <v>42127.906689814816</v>
      </c>
      <c r="B14">
        <v>1</v>
      </c>
      <c r="C14">
        <v>48</v>
      </c>
      <c r="D14">
        <v>24</v>
      </c>
      <c r="E14">
        <v>2</v>
      </c>
      <c r="F14">
        <v>2.6396484375</v>
      </c>
      <c r="G14">
        <v>2.6396484375</v>
      </c>
      <c r="H14">
        <v>5.5370773344428308</v>
      </c>
      <c r="I14">
        <v>3.8112653773117091</v>
      </c>
      <c r="J14">
        <v>1.620961849173076</v>
      </c>
      <c r="K14">
        <v>7.5964652087940491E-3</v>
      </c>
      <c r="L14">
        <v>94.462922665557173</v>
      </c>
      <c r="M14">
        <v>541158.57999999996</v>
      </c>
      <c r="N14">
        <v>9232202.8399999999</v>
      </c>
      <c r="O14">
        <v>9773361.4199999999</v>
      </c>
      <c r="P14">
        <v>516599.796875</v>
      </c>
    </row>
    <row r="15" spans="1:16" x14ac:dyDescent="0.25">
      <c r="A15" s="28">
        <v>42127.906689814816</v>
      </c>
      <c r="B15">
        <v>2</v>
      </c>
      <c r="C15">
        <v>48</v>
      </c>
      <c r="D15">
        <v>24</v>
      </c>
      <c r="E15">
        <v>2</v>
      </c>
      <c r="F15">
        <v>9.4599609375</v>
      </c>
      <c r="G15">
        <v>9.4599609375</v>
      </c>
      <c r="H15">
        <v>6.6126347164442176</v>
      </c>
      <c r="I15">
        <v>5.0055978929191705</v>
      </c>
      <c r="J15">
        <v>1.5351521671513291</v>
      </c>
      <c r="K15">
        <v>7.4782293933710669E-3</v>
      </c>
      <c r="L15">
        <v>93.387365283555781</v>
      </c>
      <c r="M15">
        <v>646900.63</v>
      </c>
      <c r="N15">
        <v>9135896.3599999994</v>
      </c>
      <c r="O15">
        <v>9782796.9900000002</v>
      </c>
      <c r="P15">
        <v>516599.796875</v>
      </c>
    </row>
    <row r="16" spans="1:16" x14ac:dyDescent="0.25">
      <c r="A16" s="28">
        <v>42127.906689814816</v>
      </c>
      <c r="B16">
        <v>3</v>
      </c>
      <c r="C16">
        <v>48</v>
      </c>
      <c r="D16">
        <v>24</v>
      </c>
      <c r="E16">
        <v>2</v>
      </c>
      <c r="F16">
        <v>7.5595703125</v>
      </c>
      <c r="G16">
        <v>7.5595703125</v>
      </c>
      <c r="H16">
        <v>6.9395544329060765</v>
      </c>
      <c r="I16">
        <v>5.4766977360136515</v>
      </c>
      <c r="J16">
        <v>1.3778408429332341</v>
      </c>
      <c r="K16">
        <v>1.2836672505949711E-2</v>
      </c>
      <c r="L16">
        <v>93.060445567093922</v>
      </c>
      <c r="M16">
        <v>678236.17</v>
      </c>
      <c r="N16">
        <v>9095246.7899999991</v>
      </c>
      <c r="O16">
        <v>9773482.9600000009</v>
      </c>
      <c r="P16">
        <v>516599.796875</v>
      </c>
    </row>
    <row r="17" spans="1:16" x14ac:dyDescent="0.25">
      <c r="A17" s="28">
        <v>42127.906689814816</v>
      </c>
      <c r="B17">
        <v>4</v>
      </c>
      <c r="C17">
        <v>48</v>
      </c>
      <c r="D17">
        <v>24</v>
      </c>
      <c r="E17">
        <v>2</v>
      </c>
      <c r="F17">
        <v>2.0791015625</v>
      </c>
      <c r="G17">
        <v>2.0791015625</v>
      </c>
      <c r="H17">
        <v>3.4540783065558607</v>
      </c>
      <c r="I17">
        <v>2.2664429031776421</v>
      </c>
      <c r="J17">
        <v>1.1512733888191111</v>
      </c>
      <c r="K17">
        <v>1.5152864628513009E-2</v>
      </c>
      <c r="L17">
        <v>96.545921693444143</v>
      </c>
      <c r="M17">
        <v>338262.44</v>
      </c>
      <c r="N17">
        <v>9454869.3300000001</v>
      </c>
      <c r="O17">
        <v>9793131.7699999996</v>
      </c>
      <c r="P17">
        <v>451959.83203125</v>
      </c>
    </row>
    <row r="18" spans="1:16" x14ac:dyDescent="0.25">
      <c r="A18" s="28">
        <v>42127.91710648148</v>
      </c>
      <c r="B18">
        <v>1</v>
      </c>
      <c r="C18">
        <v>48</v>
      </c>
      <c r="D18">
        <v>24</v>
      </c>
      <c r="E18">
        <v>2</v>
      </c>
      <c r="F18">
        <v>3.119140625</v>
      </c>
      <c r="G18">
        <v>3.119140625</v>
      </c>
      <c r="H18">
        <v>5.5607265619178632</v>
      </c>
      <c r="I18">
        <v>3.8295877915934051</v>
      </c>
      <c r="J18">
        <v>1.6253773681744392</v>
      </c>
      <c r="K18">
        <v>7.5926540317358127E-3</v>
      </c>
      <c r="L18">
        <v>94.439273438082139</v>
      </c>
      <c r="M18">
        <v>545844.64</v>
      </c>
      <c r="N18">
        <v>9270222.2699999996</v>
      </c>
      <c r="O18">
        <v>9816066.9100000001</v>
      </c>
      <c r="P18">
        <v>516599.796875</v>
      </c>
    </row>
    <row r="19" spans="1:16" x14ac:dyDescent="0.25">
      <c r="A19" s="28">
        <v>42127.91710648148</v>
      </c>
      <c r="B19">
        <v>2</v>
      </c>
      <c r="C19">
        <v>48</v>
      </c>
      <c r="D19">
        <v>24</v>
      </c>
      <c r="E19">
        <v>2</v>
      </c>
      <c r="F19">
        <v>9.189453125</v>
      </c>
      <c r="G19">
        <v>9.189453125</v>
      </c>
      <c r="H19">
        <v>6.6882316814206266</v>
      </c>
      <c r="I19">
        <v>5.0749059702847701</v>
      </c>
      <c r="J19">
        <v>1.5405024574894046</v>
      </c>
      <c r="K19">
        <v>7.4682504930987728E-3</v>
      </c>
      <c r="L19">
        <v>93.311768318579368</v>
      </c>
      <c r="M19">
        <v>657149.56000000006</v>
      </c>
      <c r="N19">
        <v>9168310.9100000001</v>
      </c>
      <c r="O19">
        <v>9825460.4700000007</v>
      </c>
      <c r="P19">
        <v>516599.796875</v>
      </c>
    </row>
    <row r="20" spans="1:16" x14ac:dyDescent="0.25">
      <c r="A20" s="28">
        <v>42127.91710648148</v>
      </c>
      <c r="B20">
        <v>3</v>
      </c>
      <c r="C20">
        <v>48</v>
      </c>
      <c r="D20">
        <v>24</v>
      </c>
      <c r="E20">
        <v>2</v>
      </c>
      <c r="F20">
        <v>8.619140625</v>
      </c>
      <c r="G20">
        <v>8.619140625</v>
      </c>
      <c r="H20">
        <v>7.011911914100093</v>
      </c>
      <c r="I20">
        <v>5.5419114416737596</v>
      </c>
      <c r="J20">
        <v>1.3839579391705874</v>
      </c>
      <c r="K20">
        <v>1.2831019359457413E-2</v>
      </c>
      <c r="L20">
        <v>92.988088085899903</v>
      </c>
      <c r="M20">
        <v>688298.64</v>
      </c>
      <c r="N20">
        <v>9127834.9399999995</v>
      </c>
      <c r="O20">
        <v>9816133.5800000001</v>
      </c>
      <c r="P20">
        <v>516599.796875</v>
      </c>
    </row>
    <row r="21" spans="1:16" x14ac:dyDescent="0.25">
      <c r="A21" s="28">
        <v>42127.91710648148</v>
      </c>
      <c r="B21">
        <v>4</v>
      </c>
      <c r="C21">
        <v>48</v>
      </c>
      <c r="D21">
        <v>24</v>
      </c>
      <c r="E21">
        <v>2</v>
      </c>
      <c r="F21">
        <v>1.7392578125</v>
      </c>
      <c r="G21">
        <v>1.7392578125</v>
      </c>
      <c r="H21">
        <v>3.4561574682943057</v>
      </c>
      <c r="I21">
        <v>2.2680367438762241</v>
      </c>
      <c r="J21">
        <v>1.1516902858128151</v>
      </c>
      <c r="K21">
        <v>1.5140877145466775E-2</v>
      </c>
      <c r="L21">
        <v>96.543842531705693</v>
      </c>
      <c r="M21">
        <v>339950.69</v>
      </c>
      <c r="N21">
        <v>9496137.3100000005</v>
      </c>
      <c r="O21">
        <v>9836088</v>
      </c>
      <c r="P21">
        <v>451959.83203125</v>
      </c>
    </row>
    <row r="22" spans="1:16" x14ac:dyDescent="0.25">
      <c r="A22" s="28">
        <v>42127.927546296298</v>
      </c>
      <c r="B22">
        <v>1</v>
      </c>
      <c r="C22">
        <v>48</v>
      </c>
      <c r="D22">
        <v>24</v>
      </c>
      <c r="E22">
        <v>2</v>
      </c>
      <c r="F22">
        <v>3.58984375</v>
      </c>
      <c r="G22">
        <v>3.58984375</v>
      </c>
      <c r="H22">
        <v>5.5861137990807004</v>
      </c>
      <c r="I22">
        <v>3.8494555067991563</v>
      </c>
      <c r="J22">
        <v>1.6299282293777106</v>
      </c>
      <c r="K22">
        <v>7.5803944329164569E-3</v>
      </c>
      <c r="L22">
        <v>94.413886200919293</v>
      </c>
      <c r="M22">
        <v>550719.42000000004</v>
      </c>
      <c r="N22">
        <v>9308002.4000000004</v>
      </c>
      <c r="O22">
        <v>9858721.8200000003</v>
      </c>
      <c r="P22">
        <v>516599.796875</v>
      </c>
    </row>
    <row r="23" spans="1:16" x14ac:dyDescent="0.25">
      <c r="A23" s="28">
        <v>42127.927546296298</v>
      </c>
      <c r="B23">
        <v>2</v>
      </c>
      <c r="C23">
        <v>48</v>
      </c>
      <c r="D23">
        <v>24</v>
      </c>
      <c r="E23">
        <v>2</v>
      </c>
      <c r="F23">
        <v>8.7197265625</v>
      </c>
      <c r="G23">
        <v>8.7197265625</v>
      </c>
      <c r="H23">
        <v>6.7642534300936621</v>
      </c>
      <c r="I23">
        <v>5.1446495412162943</v>
      </c>
      <c r="J23">
        <v>1.5458720699659017</v>
      </c>
      <c r="K23">
        <v>7.463250007135375E-3</v>
      </c>
      <c r="L23">
        <v>93.23574656990634</v>
      </c>
      <c r="M23">
        <v>667502.41</v>
      </c>
      <c r="N23">
        <v>9200584.5399999991</v>
      </c>
      <c r="O23">
        <v>9868086.9499999993</v>
      </c>
      <c r="P23">
        <v>516599.796875</v>
      </c>
    </row>
    <row r="24" spans="1:16" x14ac:dyDescent="0.25">
      <c r="A24" s="28">
        <v>42127.927546296298</v>
      </c>
      <c r="B24">
        <v>3</v>
      </c>
      <c r="C24">
        <v>48</v>
      </c>
      <c r="D24">
        <v>24</v>
      </c>
      <c r="E24">
        <v>2</v>
      </c>
      <c r="F24">
        <v>8.8994140625</v>
      </c>
      <c r="G24">
        <v>8.8994140625</v>
      </c>
      <c r="H24">
        <v>7.0834733913514398</v>
      </c>
      <c r="I24">
        <v>5.6066280352528191</v>
      </c>
      <c r="J24">
        <v>1.3897906365388044</v>
      </c>
      <c r="K24">
        <v>1.2815631339941264E-2</v>
      </c>
      <c r="L24">
        <v>92.916526608648553</v>
      </c>
      <c r="M24">
        <v>698341.35</v>
      </c>
      <c r="N24">
        <v>9160400.4199999999</v>
      </c>
      <c r="O24">
        <v>9858741.7699999996</v>
      </c>
      <c r="P24">
        <v>516599.796875</v>
      </c>
    </row>
    <row r="25" spans="1:16" x14ac:dyDescent="0.25">
      <c r="A25" s="28">
        <v>42127.927546296298</v>
      </c>
      <c r="B25">
        <v>4</v>
      </c>
      <c r="C25">
        <v>48</v>
      </c>
      <c r="D25">
        <v>24</v>
      </c>
      <c r="E25">
        <v>2</v>
      </c>
      <c r="F25">
        <v>1.76953125</v>
      </c>
      <c r="G25">
        <v>1.76953125</v>
      </c>
      <c r="H25">
        <v>3.4631344704211195</v>
      </c>
      <c r="I25">
        <v>2.2744929799690925</v>
      </c>
      <c r="J25">
        <v>1.1521083602174071</v>
      </c>
      <c r="K25">
        <v>1.5131381162840006E-2</v>
      </c>
      <c r="L25">
        <v>96.536865529578876</v>
      </c>
      <c r="M25">
        <v>342123.25</v>
      </c>
      <c r="N25">
        <v>9536882.4000000004</v>
      </c>
      <c r="O25">
        <v>9879005.6500000004</v>
      </c>
      <c r="P25">
        <v>451959.83203125</v>
      </c>
    </row>
    <row r="26" spans="1:16" x14ac:dyDescent="0.25">
      <c r="A26" s="28">
        <v>42127.937962962962</v>
      </c>
      <c r="B26">
        <v>1</v>
      </c>
      <c r="C26">
        <v>48</v>
      </c>
      <c r="D26">
        <v>24</v>
      </c>
      <c r="E26">
        <v>2</v>
      </c>
      <c r="F26">
        <v>3.169921875</v>
      </c>
      <c r="G26">
        <v>3.169921875</v>
      </c>
      <c r="H26">
        <v>5.6081476584663594</v>
      </c>
      <c r="I26">
        <v>3.8664310755416831</v>
      </c>
      <c r="J26">
        <v>1.6341015448224008</v>
      </c>
      <c r="K26">
        <v>7.569783852078538E-3</v>
      </c>
      <c r="L26">
        <v>94.391852341533635</v>
      </c>
      <c r="M26">
        <v>555178.02</v>
      </c>
      <c r="N26">
        <v>9344312.0399999991</v>
      </c>
      <c r="O26">
        <v>9899490.0600000005</v>
      </c>
      <c r="P26">
        <v>516599.796875</v>
      </c>
    </row>
    <row r="27" spans="1:16" x14ac:dyDescent="0.25">
      <c r="A27" s="28">
        <v>42127.937962962962</v>
      </c>
      <c r="B27">
        <v>2</v>
      </c>
      <c r="C27">
        <v>48</v>
      </c>
      <c r="D27">
        <v>24</v>
      </c>
      <c r="E27">
        <v>2</v>
      </c>
      <c r="F27">
        <v>7.2890625</v>
      </c>
      <c r="G27">
        <v>7.2890625</v>
      </c>
      <c r="H27">
        <v>6.829082514458233</v>
      </c>
      <c r="I27">
        <v>5.2040589491008991</v>
      </c>
      <c r="J27">
        <v>1.5505522727512275</v>
      </c>
      <c r="K27">
        <v>7.4540624742413953E-3</v>
      </c>
      <c r="L27">
        <v>93.170917485541764</v>
      </c>
      <c r="M27">
        <v>676681.83</v>
      </c>
      <c r="N27">
        <v>9232143.0899999999</v>
      </c>
      <c r="O27">
        <v>9908824.9199999999</v>
      </c>
      <c r="P27">
        <v>516599.796875</v>
      </c>
    </row>
    <row r="28" spans="1:16" x14ac:dyDescent="0.25">
      <c r="A28" s="28">
        <v>42127.937962962962</v>
      </c>
      <c r="B28">
        <v>3</v>
      </c>
      <c r="C28">
        <v>48</v>
      </c>
      <c r="D28">
        <v>24</v>
      </c>
      <c r="E28">
        <v>2</v>
      </c>
      <c r="F28">
        <v>9.009765625</v>
      </c>
      <c r="G28">
        <v>9.009765625</v>
      </c>
      <c r="H28">
        <v>7.1505091474361606</v>
      </c>
      <c r="I28">
        <v>5.6675072507698738</v>
      </c>
      <c r="J28">
        <v>1.3950691036375307</v>
      </c>
      <c r="K28">
        <v>1.2798665664252005E-2</v>
      </c>
      <c r="L28">
        <v>92.849490852563846</v>
      </c>
      <c r="M28">
        <v>707862.47</v>
      </c>
      <c r="N28">
        <v>9191607</v>
      </c>
      <c r="O28">
        <v>9899469.4700000007</v>
      </c>
      <c r="P28">
        <v>516599.796875</v>
      </c>
    </row>
    <row r="29" spans="1:16" x14ac:dyDescent="0.25">
      <c r="A29" s="28">
        <v>42127.937962962962</v>
      </c>
      <c r="B29">
        <v>4</v>
      </c>
      <c r="C29">
        <v>48</v>
      </c>
      <c r="D29">
        <v>24</v>
      </c>
      <c r="E29">
        <v>2</v>
      </c>
      <c r="F29">
        <v>1.6494140625</v>
      </c>
      <c r="G29">
        <v>1.6494140625</v>
      </c>
      <c r="H29">
        <v>3.464127325416781</v>
      </c>
      <c r="I29">
        <v>2.275299620304617</v>
      </c>
      <c r="J29">
        <v>1.1522545759627096</v>
      </c>
      <c r="K29">
        <v>1.5120944450803305E-2</v>
      </c>
      <c r="L29">
        <v>96.535872674583217</v>
      </c>
      <c r="M29">
        <v>343641.96</v>
      </c>
      <c r="N29">
        <v>9576373.3200000003</v>
      </c>
      <c r="O29">
        <v>9920015.2799999993</v>
      </c>
      <c r="P29">
        <v>451959.83203125</v>
      </c>
    </row>
    <row r="30" spans="1:16" x14ac:dyDescent="0.25">
      <c r="A30" s="28">
        <v>42127.947928240741</v>
      </c>
      <c r="B30">
        <v>1</v>
      </c>
      <c r="C30">
        <v>48</v>
      </c>
      <c r="D30">
        <v>24</v>
      </c>
      <c r="E30">
        <v>2</v>
      </c>
      <c r="F30">
        <v>2.7890625</v>
      </c>
      <c r="G30">
        <v>2.7890625</v>
      </c>
      <c r="H30">
        <v>5.6337780544021312</v>
      </c>
      <c r="I30">
        <v>3.8859126344246948</v>
      </c>
      <c r="J30">
        <v>1.6391599223387641</v>
      </c>
      <c r="K30">
        <v>7.5521457934795361E-3</v>
      </c>
      <c r="L30">
        <v>94.366221945597871</v>
      </c>
      <c r="M30">
        <v>560129.36</v>
      </c>
      <c r="N30">
        <v>9382210.4800000004</v>
      </c>
      <c r="O30">
        <v>9942339.8399999999</v>
      </c>
      <c r="P30">
        <v>516599.796875</v>
      </c>
    </row>
    <row r="31" spans="1:16" x14ac:dyDescent="0.25">
      <c r="A31" s="28">
        <v>42127.947928240741</v>
      </c>
      <c r="B31">
        <v>2</v>
      </c>
      <c r="C31">
        <v>48</v>
      </c>
      <c r="D31">
        <v>24</v>
      </c>
      <c r="E31">
        <v>2</v>
      </c>
      <c r="F31">
        <v>8.3095703125</v>
      </c>
      <c r="G31">
        <v>8.3095703125</v>
      </c>
      <c r="H31">
        <v>6.9003879048561672</v>
      </c>
      <c r="I31">
        <v>5.2690686968644247</v>
      </c>
      <c r="J31">
        <v>1.5559442097637999</v>
      </c>
      <c r="K31">
        <v>7.4454553248182202E-3</v>
      </c>
      <c r="L31">
        <v>93.09961209514384</v>
      </c>
      <c r="M31">
        <v>686706.48</v>
      </c>
      <c r="N31">
        <v>9265001.8800000008</v>
      </c>
      <c r="O31">
        <v>9951708.3599999994</v>
      </c>
      <c r="P31">
        <v>516599.796875</v>
      </c>
    </row>
    <row r="32" spans="1:16" x14ac:dyDescent="0.25">
      <c r="A32" s="28">
        <v>42127.947928240741</v>
      </c>
      <c r="B32">
        <v>3</v>
      </c>
      <c r="C32">
        <v>48</v>
      </c>
      <c r="D32">
        <v>24</v>
      </c>
      <c r="E32">
        <v>2</v>
      </c>
      <c r="F32">
        <v>8.349609375</v>
      </c>
      <c r="G32">
        <v>8.349609375</v>
      </c>
      <c r="H32">
        <v>7.2208880686042232</v>
      </c>
      <c r="I32">
        <v>5.7308401991472646</v>
      </c>
      <c r="J32">
        <v>1.4011009310768723</v>
      </c>
      <c r="K32">
        <v>1.2783534339469643E-2</v>
      </c>
      <c r="L32">
        <v>92.779111931395775</v>
      </c>
      <c r="M32">
        <v>717923.86</v>
      </c>
      <c r="N32">
        <v>9224396.9900000002</v>
      </c>
      <c r="O32">
        <v>9942320.8499999996</v>
      </c>
      <c r="P32">
        <v>516599.796875</v>
      </c>
    </row>
    <row r="33" spans="1:16" x14ac:dyDescent="0.25">
      <c r="A33" s="28">
        <v>42127.947928240741</v>
      </c>
      <c r="B33">
        <v>4</v>
      </c>
      <c r="C33">
        <v>48</v>
      </c>
      <c r="D33">
        <v>24</v>
      </c>
      <c r="E33">
        <v>2</v>
      </c>
      <c r="F33">
        <v>1.689453125</v>
      </c>
      <c r="G33">
        <v>1.689453125</v>
      </c>
      <c r="H33">
        <v>3.4656277427528535</v>
      </c>
      <c r="I33">
        <v>2.2763504732303308</v>
      </c>
      <c r="J33">
        <v>1.1526308835860244</v>
      </c>
      <c r="K33">
        <v>1.5112064867802736E-2</v>
      </c>
      <c r="L33">
        <v>96.534372257247142</v>
      </c>
      <c r="M33">
        <v>345286.22</v>
      </c>
      <c r="N33">
        <v>9617879.0600000005</v>
      </c>
      <c r="O33">
        <v>9963165.2799999993</v>
      </c>
      <c r="P33">
        <v>451959.83203125</v>
      </c>
    </row>
    <row r="34" spans="1:16" x14ac:dyDescent="0.25">
      <c r="A34" s="28">
        <v>42127.958402777775</v>
      </c>
      <c r="B34">
        <v>1</v>
      </c>
      <c r="C34">
        <v>48</v>
      </c>
      <c r="D34">
        <v>24</v>
      </c>
      <c r="E34">
        <v>2</v>
      </c>
      <c r="F34">
        <v>4.25</v>
      </c>
      <c r="G34">
        <v>4.25</v>
      </c>
      <c r="H34">
        <v>5.6616453058150267</v>
      </c>
      <c r="I34">
        <v>3.908171428418914</v>
      </c>
      <c r="J34">
        <v>1.6437673071185721</v>
      </c>
      <c r="K34">
        <v>7.5485235023632774E-3</v>
      </c>
      <c r="L34">
        <v>94.338354694184972</v>
      </c>
      <c r="M34">
        <v>565315.23</v>
      </c>
      <c r="N34">
        <v>9419683.8200000003</v>
      </c>
      <c r="O34">
        <v>9984999.0500000007</v>
      </c>
      <c r="P34">
        <v>516599.796875</v>
      </c>
    </row>
    <row r="35" spans="1:16" x14ac:dyDescent="0.25">
      <c r="A35" s="28">
        <v>42127.958402777775</v>
      </c>
      <c r="B35">
        <v>2</v>
      </c>
      <c r="C35">
        <v>48</v>
      </c>
      <c r="D35">
        <v>24</v>
      </c>
      <c r="E35">
        <v>2</v>
      </c>
      <c r="F35">
        <v>8.75</v>
      </c>
      <c r="G35">
        <v>8.75</v>
      </c>
      <c r="H35">
        <v>6.9693802957569684</v>
      </c>
      <c r="I35">
        <v>5.3321983719627655</v>
      </c>
      <c r="J35">
        <v>1.5609515666493499</v>
      </c>
      <c r="K35">
        <v>7.4411224872787734E-3</v>
      </c>
      <c r="L35">
        <v>93.030619704243037</v>
      </c>
      <c r="M35">
        <v>696542.55</v>
      </c>
      <c r="N35">
        <v>9297782.9199999999</v>
      </c>
      <c r="O35">
        <v>9994325.4700000007</v>
      </c>
      <c r="P35">
        <v>516599.796875</v>
      </c>
    </row>
    <row r="36" spans="1:16" x14ac:dyDescent="0.25">
      <c r="A36" s="28">
        <v>42127.958402777775</v>
      </c>
      <c r="B36">
        <v>3</v>
      </c>
      <c r="C36">
        <v>48</v>
      </c>
      <c r="D36">
        <v>24</v>
      </c>
      <c r="E36">
        <v>2</v>
      </c>
      <c r="F36">
        <v>7.9892578125</v>
      </c>
      <c r="G36">
        <v>7.9892578125</v>
      </c>
      <c r="H36">
        <v>7.2907675592750438</v>
      </c>
      <c r="I36">
        <v>5.7940416730651298</v>
      </c>
      <c r="J36">
        <v>1.4068011426365548</v>
      </c>
      <c r="K36">
        <v>1.27774310047469E-2</v>
      </c>
      <c r="L36">
        <v>92.709232440724961</v>
      </c>
      <c r="M36">
        <v>727979.44</v>
      </c>
      <c r="N36">
        <v>9256969.8000000007</v>
      </c>
      <c r="O36">
        <v>9984949.2400000002</v>
      </c>
      <c r="P36">
        <v>516599.796875</v>
      </c>
    </row>
    <row r="37" spans="1:16" x14ac:dyDescent="0.25">
      <c r="A37" s="28">
        <v>42127.958402777775</v>
      </c>
      <c r="B37">
        <v>4</v>
      </c>
      <c r="C37">
        <v>48</v>
      </c>
      <c r="D37">
        <v>24</v>
      </c>
      <c r="E37">
        <v>2</v>
      </c>
      <c r="F37">
        <v>2.109375</v>
      </c>
      <c r="G37">
        <v>2.109375</v>
      </c>
      <c r="H37">
        <v>3.4672478197724041</v>
      </c>
      <c r="I37">
        <v>2.2775265122062187</v>
      </c>
      <c r="J37">
        <v>1.1530028799572536</v>
      </c>
      <c r="K37">
        <v>1.5089006328799887E-2</v>
      </c>
      <c r="L37">
        <v>96.53275218022759</v>
      </c>
      <c r="M37">
        <v>346936.04</v>
      </c>
      <c r="N37">
        <v>9659156.9199999999</v>
      </c>
      <c r="O37">
        <v>10006092.960000001</v>
      </c>
      <c r="P37">
        <v>451959.83203125</v>
      </c>
    </row>
    <row r="38" spans="1:16" x14ac:dyDescent="0.25">
      <c r="A38" s="28">
        <v>42127.968831018516</v>
      </c>
      <c r="B38">
        <v>1</v>
      </c>
      <c r="C38">
        <v>48</v>
      </c>
      <c r="D38">
        <v>24</v>
      </c>
      <c r="E38">
        <v>2</v>
      </c>
      <c r="F38">
        <v>3.7294921875</v>
      </c>
      <c r="G38">
        <v>3.7294921875</v>
      </c>
      <c r="H38">
        <v>5.6864905729130113</v>
      </c>
      <c r="I38">
        <v>3.9274828033571212</v>
      </c>
      <c r="J38">
        <v>1.648324922933639</v>
      </c>
      <c r="K38">
        <v>7.5396243726267263E-3</v>
      </c>
      <c r="L38">
        <v>94.313509427086984</v>
      </c>
      <c r="M38">
        <v>570200.9</v>
      </c>
      <c r="N38">
        <v>9457089.0899999999</v>
      </c>
      <c r="O38">
        <v>10027289.99</v>
      </c>
      <c r="P38">
        <v>516599.796875</v>
      </c>
    </row>
    <row r="39" spans="1:16" x14ac:dyDescent="0.25">
      <c r="A39" s="28">
        <v>42127.968831018516</v>
      </c>
      <c r="B39">
        <v>2</v>
      </c>
      <c r="C39">
        <v>48</v>
      </c>
      <c r="D39">
        <v>24</v>
      </c>
      <c r="E39">
        <v>2</v>
      </c>
      <c r="F39">
        <v>7.4697265625</v>
      </c>
      <c r="G39">
        <v>7.4697265625</v>
      </c>
      <c r="H39">
        <v>7.0321099743519921</v>
      </c>
      <c r="I39">
        <v>5.3894369666974136</v>
      </c>
      <c r="J39">
        <v>1.5656764264972294</v>
      </c>
      <c r="K39">
        <v>7.4300854915163757E-3</v>
      </c>
      <c r="L39">
        <v>92.967890025648003</v>
      </c>
      <c r="M39">
        <v>705786.68</v>
      </c>
      <c r="N39">
        <v>9330840.7699999996</v>
      </c>
      <c r="O39">
        <v>10036627.449999999</v>
      </c>
      <c r="P39">
        <v>516599.796875</v>
      </c>
    </row>
    <row r="40" spans="1:16" x14ac:dyDescent="0.25">
      <c r="A40" s="28">
        <v>42127.968831018516</v>
      </c>
      <c r="B40">
        <v>3</v>
      </c>
      <c r="C40">
        <v>48</v>
      </c>
      <c r="D40">
        <v>24</v>
      </c>
      <c r="E40">
        <v>2</v>
      </c>
      <c r="F40">
        <v>8.2890625</v>
      </c>
      <c r="G40">
        <v>8.2890625</v>
      </c>
      <c r="H40">
        <v>7.3625847662638506</v>
      </c>
      <c r="I40">
        <v>5.8587454931529841</v>
      </c>
      <c r="J40">
        <v>1.4128644603011959</v>
      </c>
      <c r="K40">
        <v>1.2767096554747465E-2</v>
      </c>
      <c r="L40">
        <v>92.637415233736149</v>
      </c>
      <c r="M40">
        <v>738259.77</v>
      </c>
      <c r="N40">
        <v>9288922.1699999999</v>
      </c>
      <c r="O40">
        <v>10027181.939999999</v>
      </c>
      <c r="P40">
        <v>516599.796875</v>
      </c>
    </row>
    <row r="41" spans="1:16" x14ac:dyDescent="0.25">
      <c r="A41" s="28">
        <v>42127.968831018516</v>
      </c>
      <c r="B41">
        <v>4</v>
      </c>
      <c r="C41">
        <v>48</v>
      </c>
      <c r="D41">
        <v>24</v>
      </c>
      <c r="E41">
        <v>2</v>
      </c>
      <c r="F41">
        <v>3.69921875</v>
      </c>
      <c r="G41">
        <v>3.69921875</v>
      </c>
      <c r="H41">
        <v>3.4717866745761197</v>
      </c>
      <c r="I41">
        <v>2.2811923364794762</v>
      </c>
      <c r="J41">
        <v>1.1537845831128137</v>
      </c>
      <c r="K41">
        <v>1.5074933599581297E-2</v>
      </c>
      <c r="L41">
        <v>96.528213325423877</v>
      </c>
      <c r="M41">
        <v>348868.31</v>
      </c>
      <c r="N41">
        <v>9699799.5</v>
      </c>
      <c r="O41">
        <v>10048667.810000001</v>
      </c>
      <c r="P41">
        <v>451959.83203125</v>
      </c>
    </row>
    <row r="42" spans="1:16" x14ac:dyDescent="0.25">
      <c r="A42" s="28">
        <v>42127.979166666664</v>
      </c>
      <c r="B42">
        <v>1</v>
      </c>
      <c r="C42">
        <v>48</v>
      </c>
      <c r="D42">
        <v>24</v>
      </c>
      <c r="E42">
        <v>2</v>
      </c>
      <c r="F42">
        <v>3.0693359375</v>
      </c>
      <c r="G42">
        <v>3.0693359375</v>
      </c>
      <c r="H42">
        <v>5.7060752180970384</v>
      </c>
      <c r="I42">
        <v>3.9426400078130346</v>
      </c>
      <c r="J42">
        <v>1.6519914062619019</v>
      </c>
      <c r="K42">
        <v>7.5339294126275562E-3</v>
      </c>
      <c r="L42">
        <v>94.293924781902959</v>
      </c>
      <c r="M42">
        <v>574604.28</v>
      </c>
      <c r="N42">
        <v>9495439.6300000008</v>
      </c>
      <c r="O42">
        <v>10070043.91</v>
      </c>
      <c r="P42">
        <v>516599.796875</v>
      </c>
    </row>
    <row r="43" spans="1:16" x14ac:dyDescent="0.25">
      <c r="A43" s="28">
        <v>42127.979166666664</v>
      </c>
      <c r="B43">
        <v>2</v>
      </c>
      <c r="C43">
        <v>48</v>
      </c>
      <c r="D43">
        <v>24</v>
      </c>
      <c r="E43">
        <v>2</v>
      </c>
      <c r="F43">
        <v>6.6396484375</v>
      </c>
      <c r="G43">
        <v>6.6396484375</v>
      </c>
      <c r="H43">
        <v>7.0960537813318805</v>
      </c>
      <c r="I43">
        <v>5.4480558064827802</v>
      </c>
      <c r="J43">
        <v>1.5702605496736335</v>
      </c>
      <c r="K43">
        <v>7.428273054935988E-3</v>
      </c>
      <c r="L43">
        <v>92.903946218668125</v>
      </c>
      <c r="M43">
        <v>715234.53</v>
      </c>
      <c r="N43">
        <v>9364093.3900000006</v>
      </c>
      <c r="O43">
        <v>10079327.92</v>
      </c>
      <c r="P43">
        <v>516599.796875</v>
      </c>
    </row>
    <row r="44" spans="1:16" x14ac:dyDescent="0.25">
      <c r="A44" s="28">
        <v>42127.979166666664</v>
      </c>
      <c r="B44">
        <v>3</v>
      </c>
      <c r="C44">
        <v>48</v>
      </c>
      <c r="D44">
        <v>24</v>
      </c>
      <c r="E44">
        <v>2</v>
      </c>
      <c r="F44">
        <v>8.33984375</v>
      </c>
      <c r="G44">
        <v>8.33984375</v>
      </c>
      <c r="H44">
        <v>7.4248652827107318</v>
      </c>
      <c r="I44">
        <v>5.9151190592339642</v>
      </c>
      <c r="J44">
        <v>1.417965208351389</v>
      </c>
      <c r="K44">
        <v>1.2781692791444733E-2</v>
      </c>
      <c r="L44">
        <v>92.575134717289274</v>
      </c>
      <c r="M44">
        <v>747674.37</v>
      </c>
      <c r="N44">
        <v>9322196.8200000003</v>
      </c>
      <c r="O44">
        <v>10069871.189999999</v>
      </c>
      <c r="P44">
        <v>516599.796875</v>
      </c>
    </row>
    <row r="45" spans="1:16" x14ac:dyDescent="0.25">
      <c r="A45" s="28">
        <v>42127.979166666664</v>
      </c>
      <c r="B45">
        <v>4</v>
      </c>
      <c r="C45">
        <v>48</v>
      </c>
      <c r="D45">
        <v>24</v>
      </c>
      <c r="E45">
        <v>2</v>
      </c>
      <c r="F45">
        <v>1.9892578125</v>
      </c>
      <c r="G45">
        <v>1.9892578125</v>
      </c>
      <c r="H45">
        <v>3.4739206448566415</v>
      </c>
      <c r="I45">
        <v>2.2829732991524203</v>
      </c>
      <c r="J45">
        <v>1.1540886900045622</v>
      </c>
      <c r="K45">
        <v>1.5077302321405531E-2</v>
      </c>
      <c r="L45">
        <v>96.526079355143352</v>
      </c>
      <c r="M45">
        <v>350576.24</v>
      </c>
      <c r="N45">
        <v>9741083.1799999997</v>
      </c>
      <c r="O45">
        <v>10091659.42</v>
      </c>
      <c r="P45">
        <v>451959.83203125</v>
      </c>
    </row>
    <row r="46" spans="1:16" x14ac:dyDescent="0.25">
      <c r="A46" s="28">
        <v>42127.989606481482</v>
      </c>
      <c r="B46">
        <v>1</v>
      </c>
      <c r="C46">
        <v>48</v>
      </c>
      <c r="D46">
        <v>24</v>
      </c>
      <c r="E46">
        <v>2</v>
      </c>
      <c r="F46">
        <v>2.5693359375</v>
      </c>
      <c r="G46">
        <v>2.5693359375</v>
      </c>
      <c r="H46">
        <v>5.7245516799966234</v>
      </c>
      <c r="I46">
        <v>3.9566575422927008</v>
      </c>
      <c r="J46">
        <v>1.6556707911385844</v>
      </c>
      <c r="K46">
        <v>7.523740647137297E-3</v>
      </c>
      <c r="L46">
        <v>94.275448320003377</v>
      </c>
      <c r="M46">
        <v>578911.81999999995</v>
      </c>
      <c r="N46">
        <v>9533876.9600000009</v>
      </c>
      <c r="O46">
        <v>10112788.779999999</v>
      </c>
      <c r="P46">
        <v>516599.796875</v>
      </c>
    </row>
    <row r="47" spans="1:16" x14ac:dyDescent="0.25">
      <c r="A47" s="28">
        <v>42127.989606481482</v>
      </c>
      <c r="B47">
        <v>2</v>
      </c>
      <c r="C47">
        <v>48</v>
      </c>
      <c r="D47">
        <v>24</v>
      </c>
      <c r="E47">
        <v>2</v>
      </c>
      <c r="F47">
        <v>9.2197265625</v>
      </c>
      <c r="G47">
        <v>9.2197265625</v>
      </c>
      <c r="H47">
        <v>7.1573496205942284</v>
      </c>
      <c r="I47">
        <v>5.5039636749662986</v>
      </c>
      <c r="J47">
        <v>1.5749021401051799</v>
      </c>
      <c r="K47">
        <v>7.4222306241865862E-3</v>
      </c>
      <c r="L47">
        <v>92.842650379405768</v>
      </c>
      <c r="M47">
        <v>724468.68</v>
      </c>
      <c r="N47">
        <v>9397555.7899999991</v>
      </c>
      <c r="O47">
        <v>10122024.470000001</v>
      </c>
      <c r="P47">
        <v>516599.796875</v>
      </c>
    </row>
    <row r="48" spans="1:16" x14ac:dyDescent="0.25">
      <c r="A48" s="28">
        <v>42127.989606481482</v>
      </c>
      <c r="B48">
        <v>3</v>
      </c>
      <c r="C48">
        <v>48</v>
      </c>
      <c r="D48">
        <v>24</v>
      </c>
      <c r="E48">
        <v>2</v>
      </c>
      <c r="F48">
        <v>8.4296875</v>
      </c>
      <c r="G48">
        <v>8.4296875</v>
      </c>
      <c r="H48">
        <v>7.4928708932700205</v>
      </c>
      <c r="I48">
        <v>5.9765422504131509</v>
      </c>
      <c r="J48">
        <v>1.4235868909243805</v>
      </c>
      <c r="K48">
        <v>1.2776126782980759E-2</v>
      </c>
      <c r="L48">
        <v>92.507129106729977</v>
      </c>
      <c r="M48">
        <v>757719.02</v>
      </c>
      <c r="N48">
        <v>9354813.6899999995</v>
      </c>
      <c r="O48">
        <v>10112532.710000001</v>
      </c>
      <c r="P48">
        <v>516599.796875</v>
      </c>
    </row>
    <row r="49" spans="1:16" x14ac:dyDescent="0.25">
      <c r="A49" s="28">
        <v>42127.989606481482</v>
      </c>
      <c r="B49">
        <v>4</v>
      </c>
      <c r="C49">
        <v>48</v>
      </c>
      <c r="D49">
        <v>24</v>
      </c>
      <c r="E49">
        <v>2</v>
      </c>
      <c r="F49">
        <v>2.619140625</v>
      </c>
      <c r="G49">
        <v>2.619140625</v>
      </c>
      <c r="H49">
        <v>3.4773154313074985</v>
      </c>
      <c r="I49">
        <v>2.2857782328351872</v>
      </c>
      <c r="J49">
        <v>1.1545926591241067</v>
      </c>
      <c r="K49">
        <v>1.5066568446672817E-2</v>
      </c>
      <c r="L49">
        <v>96.522684568692497</v>
      </c>
      <c r="M49">
        <v>352412.83</v>
      </c>
      <c r="N49">
        <v>9782210.7599999998</v>
      </c>
      <c r="O49">
        <v>10134623.59</v>
      </c>
      <c r="P49">
        <v>451959.83203125</v>
      </c>
    </row>
    <row r="50" spans="1:16" x14ac:dyDescent="0.25">
      <c r="A50" s="28">
        <v>42128.000034722223</v>
      </c>
      <c r="B50">
        <v>1</v>
      </c>
      <c r="C50">
        <v>48</v>
      </c>
      <c r="D50">
        <v>24</v>
      </c>
      <c r="E50">
        <v>2</v>
      </c>
      <c r="F50">
        <v>2.6796875</v>
      </c>
      <c r="G50">
        <v>2.6796875</v>
      </c>
      <c r="H50">
        <v>5.7463750772117947</v>
      </c>
      <c r="I50">
        <v>3.9731269622209973</v>
      </c>
      <c r="J50">
        <v>1.6601267760219387</v>
      </c>
      <c r="K50">
        <v>7.5172254709228482E-3</v>
      </c>
      <c r="L50">
        <v>94.253624922788205</v>
      </c>
      <c r="M50">
        <v>583571.72</v>
      </c>
      <c r="N50">
        <v>9571903.9000000004</v>
      </c>
      <c r="O50">
        <v>10155475.619999999</v>
      </c>
      <c r="P50">
        <v>516599.796875</v>
      </c>
    </row>
    <row r="51" spans="1:16" x14ac:dyDescent="0.25">
      <c r="A51" s="28">
        <v>42128.000034722223</v>
      </c>
      <c r="B51">
        <v>2</v>
      </c>
      <c r="C51">
        <v>48</v>
      </c>
      <c r="D51">
        <v>24</v>
      </c>
      <c r="E51">
        <v>2</v>
      </c>
      <c r="F51">
        <v>8.4599609375</v>
      </c>
      <c r="G51">
        <v>8.4599609375</v>
      </c>
      <c r="H51">
        <v>7.221838945803956</v>
      </c>
      <c r="I51">
        <v>5.5625314421552492</v>
      </c>
      <c r="J51">
        <v>1.5799828614675167</v>
      </c>
      <c r="K51">
        <v>7.4135014110011501E-3</v>
      </c>
      <c r="L51">
        <v>92.778161054196048</v>
      </c>
      <c r="M51">
        <v>734078.09</v>
      </c>
      <c r="N51">
        <v>9430619.5099999998</v>
      </c>
      <c r="O51">
        <v>10164697.6</v>
      </c>
      <c r="P51">
        <v>516599.796875</v>
      </c>
    </row>
    <row r="52" spans="1:16" x14ac:dyDescent="0.25">
      <c r="A52" s="28">
        <v>42128.000034722223</v>
      </c>
      <c r="B52">
        <v>3</v>
      </c>
      <c r="C52">
        <v>48</v>
      </c>
      <c r="D52">
        <v>24</v>
      </c>
      <c r="E52">
        <v>2</v>
      </c>
      <c r="F52">
        <v>7.3193359375</v>
      </c>
      <c r="G52">
        <v>7.3193359375</v>
      </c>
      <c r="H52">
        <v>7.5536561668451903</v>
      </c>
      <c r="I52">
        <v>6.0309048894752442</v>
      </c>
      <c r="J52">
        <v>1.4291378953468181</v>
      </c>
      <c r="K52">
        <v>1.277059514024991E-2</v>
      </c>
      <c r="L52">
        <v>92.446343833154813</v>
      </c>
      <c r="M52">
        <v>767089.2</v>
      </c>
      <c r="N52">
        <v>9388114.8900000006</v>
      </c>
      <c r="O52">
        <v>10155204.09</v>
      </c>
      <c r="P52">
        <v>516599.796875</v>
      </c>
    </row>
    <row r="53" spans="1:16" x14ac:dyDescent="0.25">
      <c r="A53" s="28">
        <v>42128.000034722223</v>
      </c>
      <c r="B53">
        <v>4</v>
      </c>
      <c r="C53">
        <v>48</v>
      </c>
      <c r="D53">
        <v>24</v>
      </c>
      <c r="E53">
        <v>2</v>
      </c>
      <c r="F53">
        <v>2.359375</v>
      </c>
      <c r="G53">
        <v>2.359375</v>
      </c>
      <c r="H53">
        <v>3.4809552073241239</v>
      </c>
      <c r="I53">
        <v>2.2889368466719611</v>
      </c>
      <c r="J53">
        <v>1.1550094205901147</v>
      </c>
      <c r="K53">
        <v>1.5057683210541536E-2</v>
      </c>
      <c r="L53">
        <v>96.519044792675871</v>
      </c>
      <c r="M53">
        <v>354277.52</v>
      </c>
      <c r="N53">
        <v>9823317.3900000006</v>
      </c>
      <c r="O53">
        <v>10177594.91</v>
      </c>
      <c r="P53">
        <v>451959.83203125</v>
      </c>
    </row>
    <row r="54" spans="1:16" x14ac:dyDescent="0.25">
      <c r="A54" s="28">
        <v>42128.010474537034</v>
      </c>
      <c r="B54">
        <v>1</v>
      </c>
      <c r="C54">
        <v>48</v>
      </c>
      <c r="D54">
        <v>24</v>
      </c>
      <c r="E54">
        <v>2</v>
      </c>
      <c r="F54">
        <v>3.01953125</v>
      </c>
      <c r="G54">
        <v>3.01953125</v>
      </c>
      <c r="H54">
        <v>5.7682005133870824</v>
      </c>
      <c r="I54">
        <v>3.9896665485586218</v>
      </c>
      <c r="J54">
        <v>1.6644925949574236</v>
      </c>
      <c r="K54">
        <v>7.5062440036215341E-3</v>
      </c>
      <c r="L54">
        <v>94.231799486612914</v>
      </c>
      <c r="M54">
        <v>588251.26</v>
      </c>
      <c r="N54">
        <v>9609925.0800000001</v>
      </c>
      <c r="O54">
        <v>10198176.34</v>
      </c>
      <c r="P54">
        <v>516599.796875</v>
      </c>
    </row>
    <row r="55" spans="1:16" x14ac:dyDescent="0.25">
      <c r="A55" s="28">
        <v>42128.010474537034</v>
      </c>
      <c r="B55">
        <v>2</v>
      </c>
      <c r="C55">
        <v>48</v>
      </c>
      <c r="D55">
        <v>24</v>
      </c>
      <c r="E55">
        <v>2</v>
      </c>
      <c r="F55">
        <v>6.3994140625</v>
      </c>
      <c r="G55">
        <v>6.3994140625</v>
      </c>
      <c r="H55">
        <v>7.2871773567105995</v>
      </c>
      <c r="I55">
        <v>5.6219908573886048</v>
      </c>
      <c r="J55">
        <v>1.5850204180525687</v>
      </c>
      <c r="K55">
        <v>7.4028940625051141E-3</v>
      </c>
      <c r="L55">
        <v>92.7128226432894</v>
      </c>
      <c r="M55">
        <v>743828.38</v>
      </c>
      <c r="N55">
        <v>9463530.9800000004</v>
      </c>
      <c r="O55">
        <v>10207359.359999999</v>
      </c>
      <c r="P55">
        <v>516599.796875</v>
      </c>
    </row>
    <row r="56" spans="1:16" x14ac:dyDescent="0.25">
      <c r="A56" s="28">
        <v>42128.010474537034</v>
      </c>
      <c r="B56">
        <v>3</v>
      </c>
      <c r="C56">
        <v>48</v>
      </c>
      <c r="D56">
        <v>24</v>
      </c>
      <c r="E56">
        <v>2</v>
      </c>
      <c r="F56">
        <v>7.8994140625</v>
      </c>
      <c r="G56">
        <v>7.8994140625</v>
      </c>
      <c r="H56">
        <v>7.611329529091071</v>
      </c>
      <c r="I56">
        <v>6.0827508984613896</v>
      </c>
      <c r="J56">
        <v>1.4341546767217777</v>
      </c>
      <c r="K56">
        <v>1.2760301201473435E-2</v>
      </c>
      <c r="L56">
        <v>92.388670470908934</v>
      </c>
      <c r="M56">
        <v>776194.13</v>
      </c>
      <c r="N56">
        <v>9421684.2699999996</v>
      </c>
      <c r="O56">
        <v>10197878.4</v>
      </c>
      <c r="P56">
        <v>516599.796875</v>
      </c>
    </row>
    <row r="57" spans="1:16" x14ac:dyDescent="0.25">
      <c r="A57" s="28">
        <v>42128.010474537034</v>
      </c>
      <c r="B57">
        <v>4</v>
      </c>
      <c r="C57">
        <v>48</v>
      </c>
      <c r="D57">
        <v>24</v>
      </c>
      <c r="E57">
        <v>2</v>
      </c>
      <c r="F57">
        <v>1.6396484375</v>
      </c>
      <c r="G57">
        <v>1.6396484375</v>
      </c>
      <c r="H57">
        <v>3.4824492514091561</v>
      </c>
      <c r="I57">
        <v>2.2900768019348625</v>
      </c>
      <c r="J57">
        <v>1.1553061460548826</v>
      </c>
      <c r="K57">
        <v>1.5047331406770309E-2</v>
      </c>
      <c r="L57">
        <v>96.51755074859085</v>
      </c>
      <c r="M57">
        <v>355925.46</v>
      </c>
      <c r="N57">
        <v>9864624.3399999999</v>
      </c>
      <c r="O57">
        <v>10220549.800000001</v>
      </c>
      <c r="P57">
        <v>451959.83203125</v>
      </c>
    </row>
    <row r="58" spans="1:16" x14ac:dyDescent="0.25">
      <c r="A58" s="28">
        <v>42128.020902777775</v>
      </c>
      <c r="B58">
        <v>1</v>
      </c>
      <c r="C58">
        <v>48</v>
      </c>
      <c r="D58">
        <v>24</v>
      </c>
      <c r="E58">
        <v>2</v>
      </c>
      <c r="F58">
        <v>3</v>
      </c>
      <c r="G58">
        <v>3</v>
      </c>
      <c r="H58">
        <v>5.7896689377282105</v>
      </c>
      <c r="I58">
        <v>4.006152027559434</v>
      </c>
      <c r="J58">
        <v>1.6686015354274315</v>
      </c>
      <c r="K58">
        <v>7.5041183523115278E-3</v>
      </c>
      <c r="L58">
        <v>94.210331062271791</v>
      </c>
      <c r="M58">
        <v>592914.78</v>
      </c>
      <c r="N58">
        <v>9647995.1300000008</v>
      </c>
      <c r="O58">
        <v>10240909.91</v>
      </c>
      <c r="P58">
        <v>516599.796875</v>
      </c>
    </row>
    <row r="59" spans="1:16" x14ac:dyDescent="0.25">
      <c r="A59" s="28">
        <v>42128.020902777775</v>
      </c>
      <c r="B59">
        <v>2</v>
      </c>
      <c r="C59">
        <v>48</v>
      </c>
      <c r="D59">
        <v>24</v>
      </c>
      <c r="E59">
        <v>2</v>
      </c>
      <c r="F59">
        <v>7.2392578125</v>
      </c>
      <c r="G59">
        <v>7.2392578125</v>
      </c>
      <c r="H59">
        <v>7.3484175516455323</v>
      </c>
      <c r="I59">
        <v>5.6777474636491245</v>
      </c>
      <c r="J59">
        <v>1.5896977311717735</v>
      </c>
      <c r="K59">
        <v>7.4043515028906241E-3</v>
      </c>
      <c r="L59">
        <v>92.651582448354475</v>
      </c>
      <c r="M59">
        <v>753216.74</v>
      </c>
      <c r="N59">
        <v>9496836.8900000006</v>
      </c>
      <c r="O59">
        <v>10250053.630000001</v>
      </c>
      <c r="P59">
        <v>516599.796875</v>
      </c>
    </row>
    <row r="60" spans="1:16" x14ac:dyDescent="0.25">
      <c r="A60" s="28">
        <v>42128.020902777775</v>
      </c>
      <c r="B60">
        <v>3</v>
      </c>
      <c r="C60">
        <v>48</v>
      </c>
      <c r="D60">
        <v>24</v>
      </c>
      <c r="E60">
        <v>2</v>
      </c>
      <c r="F60">
        <v>7.109375</v>
      </c>
      <c r="G60">
        <v>7.109375</v>
      </c>
      <c r="H60">
        <v>7.6750545147582185</v>
      </c>
      <c r="I60">
        <v>6.1399623662638927</v>
      </c>
      <c r="J60">
        <v>1.4397071471603318</v>
      </c>
      <c r="K60">
        <v>1.2750277052915473E-2</v>
      </c>
      <c r="L60">
        <v>92.324945485241784</v>
      </c>
      <c r="M60">
        <v>785968.7</v>
      </c>
      <c r="N60">
        <v>9454593.0899999999</v>
      </c>
      <c r="O60">
        <v>10240561.789999999</v>
      </c>
      <c r="P60">
        <v>516599.796875</v>
      </c>
    </row>
    <row r="61" spans="1:16" x14ac:dyDescent="0.25">
      <c r="A61" s="28">
        <v>42128.020902777775</v>
      </c>
      <c r="B61">
        <v>4</v>
      </c>
      <c r="C61">
        <v>48</v>
      </c>
      <c r="D61">
        <v>24</v>
      </c>
      <c r="E61">
        <v>2</v>
      </c>
      <c r="F61">
        <v>2.2998046875</v>
      </c>
      <c r="G61">
        <v>2.2998046875</v>
      </c>
      <c r="H61">
        <v>3.4857212090872762</v>
      </c>
      <c r="I61">
        <v>2.2929180288093467</v>
      </c>
      <c r="J61">
        <v>1.1556718240005184</v>
      </c>
      <c r="K61">
        <v>1.5029810857538715E-2</v>
      </c>
      <c r="L61">
        <v>96.514278790912726</v>
      </c>
      <c r="M61">
        <v>357758.24</v>
      </c>
      <c r="N61">
        <v>9905777.4399999995</v>
      </c>
      <c r="O61">
        <v>10263535.68</v>
      </c>
      <c r="P61">
        <v>451959.83203125</v>
      </c>
    </row>
    <row r="62" spans="1:16" x14ac:dyDescent="0.25">
      <c r="A62" s="28">
        <v>42128.031342592592</v>
      </c>
      <c r="B62">
        <v>1</v>
      </c>
      <c r="C62">
        <v>48</v>
      </c>
      <c r="D62">
        <v>24</v>
      </c>
      <c r="E62">
        <v>2</v>
      </c>
      <c r="F62">
        <v>3.4599609375</v>
      </c>
      <c r="G62">
        <v>3.4599609375</v>
      </c>
      <c r="H62">
        <v>5.8088790916396276</v>
      </c>
      <c r="I62">
        <v>4.0207590301892475</v>
      </c>
      <c r="J62">
        <v>1.6724045412012936</v>
      </c>
      <c r="K62">
        <v>7.4962992777835068E-3</v>
      </c>
      <c r="L62">
        <v>94.191120908360375</v>
      </c>
      <c r="M62">
        <v>597362.32999999996</v>
      </c>
      <c r="N62">
        <v>9686245.2400000002</v>
      </c>
      <c r="O62">
        <v>10283607.57</v>
      </c>
      <c r="P62">
        <v>516599.796875</v>
      </c>
    </row>
    <row r="63" spans="1:16" x14ac:dyDescent="0.25">
      <c r="A63" s="28">
        <v>42128.031342592592</v>
      </c>
      <c r="B63">
        <v>2</v>
      </c>
      <c r="C63">
        <v>48</v>
      </c>
      <c r="D63">
        <v>24</v>
      </c>
      <c r="E63">
        <v>2</v>
      </c>
      <c r="F63">
        <v>8.69921875</v>
      </c>
      <c r="G63">
        <v>8.69921875</v>
      </c>
      <c r="H63">
        <v>7.4062768211611534</v>
      </c>
      <c r="I63">
        <v>5.7303095838127787</v>
      </c>
      <c r="J63">
        <v>1.5942536760512616</v>
      </c>
      <c r="K63">
        <v>7.3962675516155187E-3</v>
      </c>
      <c r="L63">
        <v>92.593723178838843</v>
      </c>
      <c r="M63">
        <v>762310.23</v>
      </c>
      <c r="N63">
        <v>9530448.8499999996</v>
      </c>
      <c r="O63">
        <v>10292759.08</v>
      </c>
      <c r="P63">
        <v>516599.796875</v>
      </c>
    </row>
    <row r="64" spans="1:16" x14ac:dyDescent="0.25">
      <c r="A64" s="28">
        <v>42128.031342592592</v>
      </c>
      <c r="B64">
        <v>3</v>
      </c>
      <c r="C64">
        <v>48</v>
      </c>
      <c r="D64">
        <v>24</v>
      </c>
      <c r="E64">
        <v>2</v>
      </c>
      <c r="F64">
        <v>8.1396484375</v>
      </c>
      <c r="G64">
        <v>8.1396484375</v>
      </c>
      <c r="H64">
        <v>7.7421033736539213</v>
      </c>
      <c r="I64">
        <v>6.2003301591081765</v>
      </c>
      <c r="J64">
        <v>1.4454028767681075</v>
      </c>
      <c r="K64">
        <v>1.2749817976750894E-2</v>
      </c>
      <c r="L64">
        <v>92.257896626346081</v>
      </c>
      <c r="M64">
        <v>796136.41</v>
      </c>
      <c r="N64">
        <v>9487069.2200000007</v>
      </c>
      <c r="O64">
        <v>10283205.630000001</v>
      </c>
      <c r="P64">
        <v>516599.796875</v>
      </c>
    </row>
    <row r="65" spans="1:16" x14ac:dyDescent="0.25">
      <c r="A65" s="28">
        <v>42128.031342592592</v>
      </c>
      <c r="B65">
        <v>4</v>
      </c>
      <c r="C65">
        <v>48</v>
      </c>
      <c r="D65">
        <v>24</v>
      </c>
      <c r="E65">
        <v>2</v>
      </c>
      <c r="F65">
        <v>2.369140625</v>
      </c>
      <c r="G65">
        <v>2.369140625</v>
      </c>
      <c r="H65">
        <v>3.4875661805746918</v>
      </c>
      <c r="I65">
        <v>2.2942420698128809</v>
      </c>
      <c r="J65">
        <v>1.1561229849060677</v>
      </c>
      <c r="K65">
        <v>1.5009281797963179E-2</v>
      </c>
      <c r="L65">
        <v>96.512433819425311</v>
      </c>
      <c r="M65">
        <v>359445.63</v>
      </c>
      <c r="N65">
        <v>9947043.5199999996</v>
      </c>
      <c r="O65">
        <v>10306489.15</v>
      </c>
      <c r="P65">
        <v>451959.83203125</v>
      </c>
    </row>
    <row r="66" spans="1:16" x14ac:dyDescent="0.25">
      <c r="A66" s="28">
        <v>42128.041770833333</v>
      </c>
      <c r="B66">
        <v>1</v>
      </c>
      <c r="C66">
        <v>48</v>
      </c>
      <c r="D66">
        <v>24</v>
      </c>
      <c r="E66">
        <v>2</v>
      </c>
      <c r="F66">
        <v>3.529296875</v>
      </c>
      <c r="G66">
        <v>3.529296875</v>
      </c>
      <c r="H66">
        <v>5.8337382029432394</v>
      </c>
      <c r="I66">
        <v>4.0396022209538476</v>
      </c>
      <c r="J66">
        <v>1.6774670438384229</v>
      </c>
      <c r="K66">
        <v>7.4955302038694346E-3</v>
      </c>
      <c r="L66">
        <v>94.166261797056762</v>
      </c>
      <c r="M66">
        <v>602408.57999999996</v>
      </c>
      <c r="N66">
        <v>9723878.9399999995</v>
      </c>
      <c r="O66">
        <v>10326287.52</v>
      </c>
      <c r="P66">
        <v>516599.796875</v>
      </c>
    </row>
    <row r="67" spans="1:16" x14ac:dyDescent="0.25">
      <c r="A67" s="28">
        <v>42128.041770833333</v>
      </c>
      <c r="B67">
        <v>2</v>
      </c>
      <c r="C67">
        <v>48</v>
      </c>
      <c r="D67">
        <v>24</v>
      </c>
      <c r="E67">
        <v>2</v>
      </c>
      <c r="F67">
        <v>7.609375</v>
      </c>
      <c r="G67">
        <v>7.609375</v>
      </c>
      <c r="H67">
        <v>7.4732899105474466</v>
      </c>
      <c r="I67">
        <v>5.7913206293843809</v>
      </c>
      <c r="J67">
        <v>1.5994034677477151</v>
      </c>
      <c r="K67">
        <v>7.4101432256539713E-3</v>
      </c>
      <c r="L67">
        <v>92.52671008945255</v>
      </c>
      <c r="M67">
        <v>772396.48</v>
      </c>
      <c r="N67">
        <v>9563031.2799999993</v>
      </c>
      <c r="O67">
        <v>10335427.76</v>
      </c>
      <c r="P67">
        <v>516599.796875</v>
      </c>
    </row>
    <row r="68" spans="1:16" x14ac:dyDescent="0.25">
      <c r="A68" s="28">
        <v>42128.041770833333</v>
      </c>
      <c r="B68">
        <v>3</v>
      </c>
      <c r="C68">
        <v>48</v>
      </c>
      <c r="D68">
        <v>24</v>
      </c>
      <c r="E68">
        <v>2</v>
      </c>
      <c r="F68">
        <v>7.8193359375</v>
      </c>
      <c r="G68">
        <v>7.8193359375</v>
      </c>
      <c r="H68">
        <v>7.8010768457447934</v>
      </c>
      <c r="I68">
        <v>6.2529008143652796</v>
      </c>
      <c r="J68">
        <v>1.4508965854331761</v>
      </c>
      <c r="K68">
        <v>1.2731348573855081E-2</v>
      </c>
      <c r="L68">
        <v>92.198923154255212</v>
      </c>
      <c r="M68">
        <v>805527.52</v>
      </c>
      <c r="N68">
        <v>9520322.8200000003</v>
      </c>
      <c r="O68">
        <v>10325850.34</v>
      </c>
      <c r="P68">
        <v>516599.796875</v>
      </c>
    </row>
    <row r="69" spans="1:16" x14ac:dyDescent="0.25">
      <c r="A69" s="28">
        <v>42128.041770833333</v>
      </c>
      <c r="B69">
        <v>4</v>
      </c>
      <c r="C69">
        <v>48</v>
      </c>
      <c r="D69">
        <v>24</v>
      </c>
      <c r="E69">
        <v>2</v>
      </c>
      <c r="F69">
        <v>2.1591796875</v>
      </c>
      <c r="G69">
        <v>2.1591796875</v>
      </c>
      <c r="H69">
        <v>3.4886240194266516</v>
      </c>
      <c r="I69">
        <v>2.294935597975468</v>
      </c>
      <c r="J69">
        <v>1.1564390396872828</v>
      </c>
      <c r="K69">
        <v>1.5022232521503179E-2</v>
      </c>
      <c r="L69">
        <v>96.511375980573348</v>
      </c>
      <c r="M69">
        <v>361053.76</v>
      </c>
      <c r="N69">
        <v>9988406.5999999996</v>
      </c>
      <c r="O69">
        <v>10349460.359999999</v>
      </c>
      <c r="P69">
        <v>451959.83203125</v>
      </c>
    </row>
    <row r="70" spans="1:16" x14ac:dyDescent="0.25">
      <c r="A70" s="28">
        <v>42128.052210648151</v>
      </c>
      <c r="B70">
        <v>1</v>
      </c>
      <c r="C70">
        <v>48</v>
      </c>
      <c r="D70">
        <v>24</v>
      </c>
      <c r="E70">
        <v>2</v>
      </c>
      <c r="F70">
        <v>3.029296875</v>
      </c>
      <c r="G70">
        <v>3.029296875</v>
      </c>
      <c r="H70">
        <v>5.8531374959380447</v>
      </c>
      <c r="I70">
        <v>4.0541962795192816</v>
      </c>
      <c r="J70">
        <v>1.6814404071668658</v>
      </c>
      <c r="K70">
        <v>7.4940312841463531E-3</v>
      </c>
      <c r="L70">
        <v>94.146862504061957</v>
      </c>
      <c r="M70">
        <v>606914.87</v>
      </c>
      <c r="N70">
        <v>9762137.1199999992</v>
      </c>
      <c r="O70">
        <v>10369051.99</v>
      </c>
      <c r="P70">
        <v>516599.796875</v>
      </c>
    </row>
    <row r="71" spans="1:16" x14ac:dyDescent="0.25">
      <c r="A71" s="28">
        <v>42128.052210648151</v>
      </c>
      <c r="B71">
        <v>2</v>
      </c>
      <c r="C71">
        <v>48</v>
      </c>
      <c r="D71">
        <v>24</v>
      </c>
      <c r="E71">
        <v>2</v>
      </c>
      <c r="F71">
        <v>7.7099609375</v>
      </c>
      <c r="G71">
        <v>7.7099609375</v>
      </c>
      <c r="H71">
        <v>7.5413970092621261</v>
      </c>
      <c r="I71">
        <v>5.8535526235246946</v>
      </c>
      <c r="J71">
        <v>1.6044352135839195</v>
      </c>
      <c r="K71">
        <v>7.4171292601113601E-3</v>
      </c>
      <c r="L71">
        <v>92.458602990737873</v>
      </c>
      <c r="M71">
        <v>782656.68</v>
      </c>
      <c r="N71">
        <v>9595482.5299999993</v>
      </c>
      <c r="O71">
        <v>10378139.210000001</v>
      </c>
      <c r="P71">
        <v>516599.796875</v>
      </c>
    </row>
    <row r="72" spans="1:16" x14ac:dyDescent="0.25">
      <c r="A72" s="28">
        <v>42128.052210648151</v>
      </c>
      <c r="B72">
        <v>3</v>
      </c>
      <c r="C72">
        <v>48</v>
      </c>
      <c r="D72">
        <v>24</v>
      </c>
      <c r="E72">
        <v>2</v>
      </c>
      <c r="F72">
        <v>8.1298828125</v>
      </c>
      <c r="G72">
        <v>8.1298828125</v>
      </c>
      <c r="H72">
        <v>7.856489722423083</v>
      </c>
      <c r="I72">
        <v>6.3023869980110563</v>
      </c>
      <c r="J72">
        <v>1.4560063383876316</v>
      </c>
      <c r="K72">
        <v>1.271110980374097E-2</v>
      </c>
      <c r="L72">
        <v>92.143510277576922</v>
      </c>
      <c r="M72">
        <v>814605.44</v>
      </c>
      <c r="N72">
        <v>9553962.0600000005</v>
      </c>
      <c r="O72">
        <v>10368567.5</v>
      </c>
      <c r="P72">
        <v>516599.796875</v>
      </c>
    </row>
    <row r="73" spans="1:16" x14ac:dyDescent="0.25">
      <c r="A73" s="28">
        <v>42128.052210648151</v>
      </c>
      <c r="B73">
        <v>4</v>
      </c>
      <c r="C73">
        <v>48</v>
      </c>
      <c r="D73">
        <v>24</v>
      </c>
      <c r="E73">
        <v>2</v>
      </c>
      <c r="F73">
        <v>2.51953125</v>
      </c>
      <c r="G73">
        <v>2.51953125</v>
      </c>
      <c r="H73">
        <v>3.4912082711980625</v>
      </c>
      <c r="I73">
        <v>2.2969331249669005</v>
      </c>
      <c r="J73">
        <v>1.1569494803030369</v>
      </c>
      <c r="K73">
        <v>1.5078315820335695E-2</v>
      </c>
      <c r="L73">
        <v>96.508791728801938</v>
      </c>
      <c r="M73">
        <v>362822.9</v>
      </c>
      <c r="N73">
        <v>10029650.76</v>
      </c>
      <c r="O73">
        <v>10392473.66</v>
      </c>
      <c r="P73">
        <v>451959.83203125</v>
      </c>
    </row>
    <row r="74" spans="1:16" x14ac:dyDescent="0.25">
      <c r="A74" s="28">
        <v>42128.062650462962</v>
      </c>
      <c r="B74">
        <v>1</v>
      </c>
      <c r="C74">
        <v>48</v>
      </c>
      <c r="D74">
        <v>24</v>
      </c>
      <c r="E74">
        <v>2</v>
      </c>
      <c r="F74">
        <v>3.0498046875</v>
      </c>
      <c r="G74">
        <v>3.0498046875</v>
      </c>
      <c r="H74">
        <v>5.8764328613138197</v>
      </c>
      <c r="I74">
        <v>4.0721124091454408</v>
      </c>
      <c r="J74">
        <v>1.6858464703107274</v>
      </c>
      <c r="K74">
        <v>7.4926257938261309E-3</v>
      </c>
      <c r="L74">
        <v>94.123567138686184</v>
      </c>
      <c r="M74">
        <v>611836.78</v>
      </c>
      <c r="N74">
        <v>9799866.9600000009</v>
      </c>
      <c r="O74">
        <v>10411703.74</v>
      </c>
      <c r="P74">
        <v>516599.796875</v>
      </c>
    </row>
    <row r="75" spans="1:16" x14ac:dyDescent="0.25">
      <c r="A75" s="28">
        <v>42128.062650462962</v>
      </c>
      <c r="B75">
        <v>2</v>
      </c>
      <c r="C75">
        <v>48</v>
      </c>
      <c r="D75">
        <v>24</v>
      </c>
      <c r="E75">
        <v>2</v>
      </c>
      <c r="F75">
        <v>7.349609375</v>
      </c>
      <c r="G75">
        <v>7.349609375</v>
      </c>
      <c r="H75">
        <v>7.5947912216398956</v>
      </c>
      <c r="I75">
        <v>5.9017137414078285</v>
      </c>
      <c r="J75">
        <v>1.6089601693492037</v>
      </c>
      <c r="K75">
        <v>7.4278592869422826E-3</v>
      </c>
      <c r="L75">
        <v>92.405208778360105</v>
      </c>
      <c r="M75">
        <v>791435.59</v>
      </c>
      <c r="N75">
        <v>9629332.6300000008</v>
      </c>
      <c r="O75">
        <v>10420768.220000001</v>
      </c>
      <c r="P75">
        <v>516599.796875</v>
      </c>
    </row>
    <row r="76" spans="1:16" x14ac:dyDescent="0.25">
      <c r="A76" s="28">
        <v>42128.062650462962</v>
      </c>
      <c r="B76">
        <v>3</v>
      </c>
      <c r="C76">
        <v>48</v>
      </c>
      <c r="D76">
        <v>24</v>
      </c>
      <c r="E76">
        <v>2</v>
      </c>
      <c r="F76">
        <v>6.83984375</v>
      </c>
      <c r="G76">
        <v>6.83984375</v>
      </c>
      <c r="H76">
        <v>7.9060848760482374</v>
      </c>
      <c r="I76">
        <v>6.3459738564957959</v>
      </c>
      <c r="J76">
        <v>1.4611777108618604</v>
      </c>
      <c r="K76">
        <v>1.2707691372897954E-2</v>
      </c>
      <c r="L76">
        <v>92.09391512395176</v>
      </c>
      <c r="M76">
        <v>823116.34</v>
      </c>
      <c r="N76">
        <v>9588058.7599999998</v>
      </c>
      <c r="O76">
        <v>10411175.1</v>
      </c>
      <c r="P76">
        <v>516599.796875</v>
      </c>
    </row>
    <row r="77" spans="1:16" x14ac:dyDescent="0.25">
      <c r="A77" s="28">
        <v>42128.062650462962</v>
      </c>
      <c r="B77">
        <v>4</v>
      </c>
      <c r="C77">
        <v>48</v>
      </c>
      <c r="D77">
        <v>24</v>
      </c>
      <c r="E77">
        <v>2</v>
      </c>
      <c r="F77">
        <v>2</v>
      </c>
      <c r="G77">
        <v>2</v>
      </c>
      <c r="H77">
        <v>3.4945166175441682</v>
      </c>
      <c r="I77">
        <v>2.2997175332673865</v>
      </c>
      <c r="J77">
        <v>1.1574033376094159</v>
      </c>
      <c r="K77">
        <v>1.5065376655886616E-2</v>
      </c>
      <c r="L77">
        <v>96.505483382455836</v>
      </c>
      <c r="M77">
        <v>364666.25</v>
      </c>
      <c r="N77">
        <v>10070718.380000001</v>
      </c>
      <c r="O77">
        <v>10435384.630000001</v>
      </c>
      <c r="P77">
        <v>451959.83203125</v>
      </c>
    </row>
    <row r="78" spans="1:16" x14ac:dyDescent="0.25">
      <c r="A78" s="28">
        <v>42128.073078703703</v>
      </c>
      <c r="B78">
        <v>1</v>
      </c>
      <c r="C78">
        <v>48</v>
      </c>
      <c r="D78">
        <v>24</v>
      </c>
      <c r="E78">
        <v>2</v>
      </c>
      <c r="F78">
        <v>2.9794921875</v>
      </c>
      <c r="G78">
        <v>2.9794921875</v>
      </c>
      <c r="H78">
        <v>5.8960089107118083</v>
      </c>
      <c r="I78">
        <v>4.0869039809477403</v>
      </c>
      <c r="J78">
        <v>1.6898028498680173</v>
      </c>
      <c r="K78">
        <v>7.4920467272846913E-3</v>
      </c>
      <c r="L78">
        <v>94.103991089288186</v>
      </c>
      <c r="M78">
        <v>616393.51</v>
      </c>
      <c r="N78">
        <v>9838026.0700000003</v>
      </c>
      <c r="O78">
        <v>10454419.58</v>
      </c>
      <c r="P78">
        <v>516599.796875</v>
      </c>
    </row>
    <row r="79" spans="1:16" x14ac:dyDescent="0.25">
      <c r="A79" s="28">
        <v>42128.073078703703</v>
      </c>
      <c r="B79">
        <v>2</v>
      </c>
      <c r="C79">
        <v>48</v>
      </c>
      <c r="D79">
        <v>24</v>
      </c>
      <c r="E79">
        <v>2</v>
      </c>
      <c r="F79">
        <v>8.1591796875</v>
      </c>
      <c r="G79">
        <v>8.1591796875</v>
      </c>
      <c r="H79">
        <v>7.6641329286283018</v>
      </c>
      <c r="I79">
        <v>5.964940099210275</v>
      </c>
      <c r="J79">
        <v>1.6142342201128161</v>
      </c>
      <c r="K79">
        <v>7.4215580309059349E-3</v>
      </c>
      <c r="L79">
        <v>92.335867071371695</v>
      </c>
      <c r="M79">
        <v>801931.67</v>
      </c>
      <c r="N79">
        <v>9661504.6699999999</v>
      </c>
      <c r="O79">
        <v>10463436.34</v>
      </c>
      <c r="P79">
        <v>516599.796875</v>
      </c>
    </row>
    <row r="80" spans="1:16" x14ac:dyDescent="0.25">
      <c r="A80" s="28">
        <v>42128.073078703703</v>
      </c>
      <c r="B80">
        <v>3</v>
      </c>
      <c r="C80">
        <v>48</v>
      </c>
      <c r="D80">
        <v>24</v>
      </c>
      <c r="E80">
        <v>2</v>
      </c>
      <c r="F80">
        <v>9.4892578125</v>
      </c>
      <c r="G80">
        <v>9.4892578125</v>
      </c>
      <c r="H80">
        <v>7.968545514460577</v>
      </c>
      <c r="I80">
        <v>6.4021124131549891</v>
      </c>
      <c r="J80">
        <v>1.4665822227450154</v>
      </c>
      <c r="K80">
        <v>1.270718573508217E-2</v>
      </c>
      <c r="L80">
        <v>92.031454485539427</v>
      </c>
      <c r="M80">
        <v>833019.71</v>
      </c>
      <c r="N80">
        <v>9620829.2200000007</v>
      </c>
      <c r="O80">
        <v>10453848.93</v>
      </c>
      <c r="P80">
        <v>516599.796875</v>
      </c>
    </row>
    <row r="81" spans="1:16" x14ac:dyDescent="0.25">
      <c r="A81" s="28">
        <v>42128.073078703703</v>
      </c>
      <c r="B81">
        <v>4</v>
      </c>
      <c r="C81">
        <v>48</v>
      </c>
      <c r="D81">
        <v>24</v>
      </c>
      <c r="E81">
        <v>2</v>
      </c>
      <c r="F81">
        <v>2.0693359375</v>
      </c>
      <c r="G81">
        <v>2.0693359375</v>
      </c>
      <c r="H81">
        <v>3.4963005392871414</v>
      </c>
      <c r="I81">
        <v>2.3011602263333959</v>
      </c>
      <c r="J81">
        <v>1.1576815632225512</v>
      </c>
      <c r="K81">
        <v>1.5067444383169865E-2</v>
      </c>
      <c r="L81">
        <v>96.503699460712852</v>
      </c>
      <c r="M81">
        <v>366354.71</v>
      </c>
      <c r="N81">
        <v>10111998.220000001</v>
      </c>
      <c r="O81">
        <v>10478352.93</v>
      </c>
      <c r="P81">
        <v>451959.83203125</v>
      </c>
    </row>
    <row r="82" spans="1:16" x14ac:dyDescent="0.25">
      <c r="A82" s="28">
        <v>42128.083506944444</v>
      </c>
      <c r="B82">
        <v>1</v>
      </c>
      <c r="C82">
        <v>48</v>
      </c>
      <c r="D82">
        <v>24</v>
      </c>
      <c r="E82">
        <v>2</v>
      </c>
      <c r="F82">
        <v>3.5</v>
      </c>
      <c r="G82">
        <v>3.5</v>
      </c>
      <c r="H82">
        <v>5.9153756373213504</v>
      </c>
      <c r="I82">
        <v>4.1014448713482698</v>
      </c>
      <c r="J82">
        <v>1.6937839896622382</v>
      </c>
      <c r="K82">
        <v>7.4940313555759541E-3</v>
      </c>
      <c r="L82">
        <v>94.084624362678653</v>
      </c>
      <c r="M82">
        <v>620898.72</v>
      </c>
      <c r="N82">
        <v>9875454.4800000004</v>
      </c>
      <c r="O82">
        <v>10496353.199999999</v>
      </c>
      <c r="P82">
        <v>516599.796875</v>
      </c>
    </row>
    <row r="83" spans="1:16" x14ac:dyDescent="0.25">
      <c r="A83" s="28">
        <v>42128.083506944444</v>
      </c>
      <c r="B83">
        <v>2</v>
      </c>
      <c r="C83">
        <v>48</v>
      </c>
      <c r="D83">
        <v>24</v>
      </c>
      <c r="E83">
        <v>2</v>
      </c>
      <c r="F83">
        <v>7.1494140625</v>
      </c>
      <c r="G83">
        <v>7.1494140625</v>
      </c>
      <c r="H83">
        <v>7.7235916225717247</v>
      </c>
      <c r="I83">
        <v>6.0191152432895958</v>
      </c>
      <c r="J83">
        <v>1.6187976630718077</v>
      </c>
      <c r="K83">
        <v>7.4146104605464875E-3</v>
      </c>
      <c r="L83">
        <v>92.276408377428268</v>
      </c>
      <c r="M83">
        <v>811389.52</v>
      </c>
      <c r="N83">
        <v>9693949.9600000009</v>
      </c>
      <c r="O83">
        <v>10505339.48</v>
      </c>
      <c r="P83">
        <v>516599.796875</v>
      </c>
    </row>
    <row r="84" spans="1:16" x14ac:dyDescent="0.25">
      <c r="A84" s="28">
        <v>42128.083506944444</v>
      </c>
      <c r="B84">
        <v>3</v>
      </c>
      <c r="C84">
        <v>48</v>
      </c>
      <c r="D84">
        <v>24</v>
      </c>
      <c r="E84">
        <v>2</v>
      </c>
      <c r="F84">
        <v>8.9697265625</v>
      </c>
      <c r="G84">
        <v>8.9697265625</v>
      </c>
      <c r="H84">
        <v>8.033715965992414</v>
      </c>
      <c r="I84">
        <v>6.4607137889448065</v>
      </c>
      <c r="J84">
        <v>1.4721950115315288</v>
      </c>
      <c r="K84">
        <v>1.2714775203806244E-2</v>
      </c>
      <c r="L84">
        <v>91.966284034007586</v>
      </c>
      <c r="M84">
        <v>843198.1</v>
      </c>
      <c r="N84">
        <v>9652543.8900000006</v>
      </c>
      <c r="O84">
        <v>10495741.99</v>
      </c>
      <c r="P84">
        <v>516599.796875</v>
      </c>
    </row>
    <row r="85" spans="1:16" x14ac:dyDescent="0.25">
      <c r="A85" s="28">
        <v>42128.083506944444</v>
      </c>
      <c r="B85">
        <v>4</v>
      </c>
      <c r="C85">
        <v>48</v>
      </c>
      <c r="D85">
        <v>24</v>
      </c>
      <c r="E85">
        <v>2</v>
      </c>
      <c r="F85">
        <v>2.5</v>
      </c>
      <c r="G85">
        <v>2.5</v>
      </c>
      <c r="H85">
        <v>3.4977635924384516</v>
      </c>
      <c r="I85">
        <v>2.3022393009510203</v>
      </c>
      <c r="J85">
        <v>1.1580165917826295</v>
      </c>
      <c r="K85">
        <v>1.5059312773234725E-2</v>
      </c>
      <c r="L85">
        <v>96.502236407561554</v>
      </c>
      <c r="M85">
        <v>367983.38</v>
      </c>
      <c r="N85">
        <v>10152549.82</v>
      </c>
      <c r="O85">
        <v>10520533.199999999</v>
      </c>
      <c r="P85">
        <v>451959.83203125</v>
      </c>
    </row>
    <row r="86" spans="1:16" x14ac:dyDescent="0.25">
      <c r="A86" s="28">
        <v>42128.09375</v>
      </c>
      <c r="B86">
        <v>1</v>
      </c>
      <c r="C86">
        <v>48</v>
      </c>
      <c r="D86">
        <v>24</v>
      </c>
      <c r="E86">
        <v>2</v>
      </c>
      <c r="F86">
        <v>3.0390625</v>
      </c>
      <c r="G86">
        <v>3.0390625</v>
      </c>
      <c r="H86">
        <v>5.9397143134856885</v>
      </c>
      <c r="I86">
        <v>4.1189534930030645</v>
      </c>
      <c r="J86">
        <v>1.6994086220591282</v>
      </c>
      <c r="K86">
        <v>7.4884703332554516E-3</v>
      </c>
      <c r="L86">
        <v>94.060285686514305</v>
      </c>
      <c r="M86">
        <v>625986.57999999996</v>
      </c>
      <c r="N86">
        <v>9913014.9100000001</v>
      </c>
      <c r="O86">
        <v>10539001.49</v>
      </c>
      <c r="P86">
        <v>516599.796875</v>
      </c>
    </row>
    <row r="87" spans="1:16" x14ac:dyDescent="0.25">
      <c r="A87" s="28">
        <v>42128.09375</v>
      </c>
      <c r="B87">
        <v>2</v>
      </c>
      <c r="C87">
        <v>48</v>
      </c>
      <c r="D87">
        <v>24</v>
      </c>
      <c r="E87">
        <v>2</v>
      </c>
      <c r="F87">
        <v>7.3994140625</v>
      </c>
      <c r="G87">
        <v>7.3994140625</v>
      </c>
      <c r="H87">
        <v>7.7916661796452873</v>
      </c>
      <c r="I87">
        <v>6.0799414073011695</v>
      </c>
      <c r="J87">
        <v>1.6248384201003245</v>
      </c>
      <c r="K87">
        <v>7.4002916432391961E-3</v>
      </c>
      <c r="L87">
        <v>92.20833382035471</v>
      </c>
      <c r="M87">
        <v>821862.04</v>
      </c>
      <c r="N87">
        <v>9726100.6300000008</v>
      </c>
      <c r="O87">
        <v>10547962.67</v>
      </c>
      <c r="P87">
        <v>516599.796875</v>
      </c>
    </row>
    <row r="88" spans="1:16" x14ac:dyDescent="0.25">
      <c r="A88" s="28">
        <v>42128.09375</v>
      </c>
      <c r="B88">
        <v>3</v>
      </c>
      <c r="C88">
        <v>48</v>
      </c>
      <c r="D88">
        <v>24</v>
      </c>
      <c r="E88">
        <v>2</v>
      </c>
      <c r="F88">
        <v>6.4794921875</v>
      </c>
      <c r="G88">
        <v>6.4794921875</v>
      </c>
      <c r="H88">
        <v>8.1013591740509234</v>
      </c>
      <c r="I88">
        <v>6.5209557174850072</v>
      </c>
      <c r="J88">
        <v>1.4784181040119075</v>
      </c>
      <c r="K88">
        <v>1.2695931224958015E-2</v>
      </c>
      <c r="L88">
        <v>91.898640825949073</v>
      </c>
      <c r="M88">
        <v>853748.52</v>
      </c>
      <c r="N88">
        <v>9684588.3399999999</v>
      </c>
      <c r="O88">
        <v>10538336.859999999</v>
      </c>
      <c r="P88">
        <v>516599.796875</v>
      </c>
    </row>
    <row r="89" spans="1:16" x14ac:dyDescent="0.25">
      <c r="A89" s="28">
        <v>42128.09375</v>
      </c>
      <c r="B89">
        <v>4</v>
      </c>
      <c r="C89">
        <v>48</v>
      </c>
      <c r="D89">
        <v>24</v>
      </c>
      <c r="E89">
        <v>2</v>
      </c>
      <c r="F89">
        <v>2.19921875</v>
      </c>
      <c r="G89">
        <v>2.19921875</v>
      </c>
      <c r="H89">
        <v>3.5042882201306371</v>
      </c>
      <c r="I89">
        <v>2.3061068691638296</v>
      </c>
      <c r="J89">
        <v>1.160307960294102</v>
      </c>
      <c r="K89">
        <v>1.5045526121284325E-2</v>
      </c>
      <c r="L89">
        <v>96.495711779869367</v>
      </c>
      <c r="M89">
        <v>370172.19</v>
      </c>
      <c r="N89">
        <v>10193233.75</v>
      </c>
      <c r="O89">
        <v>10563405.939999999</v>
      </c>
      <c r="P89">
        <v>451959.83203125</v>
      </c>
    </row>
    <row r="90" spans="1:16" x14ac:dyDescent="0.25">
      <c r="A90" s="28">
        <v>42128.104189814818</v>
      </c>
      <c r="B90">
        <v>1</v>
      </c>
      <c r="C90">
        <v>48</v>
      </c>
      <c r="D90">
        <v>24</v>
      </c>
      <c r="E90">
        <v>2</v>
      </c>
      <c r="F90">
        <v>3.0390625</v>
      </c>
      <c r="G90">
        <v>3.0390625</v>
      </c>
      <c r="H90">
        <v>5.9618783400184636</v>
      </c>
      <c r="I90">
        <v>4.1356085899653419</v>
      </c>
      <c r="J90">
        <v>1.7039446686605877</v>
      </c>
      <c r="K90">
        <v>7.4836822414874049E-3</v>
      </c>
      <c r="L90">
        <v>94.038121659981542</v>
      </c>
      <c r="M90">
        <v>630867.43999999994</v>
      </c>
      <c r="N90">
        <v>9950821.8200000003</v>
      </c>
      <c r="O90">
        <v>10581689.26</v>
      </c>
      <c r="P90">
        <v>516599.796875</v>
      </c>
    </row>
    <row r="91" spans="1:16" x14ac:dyDescent="0.25">
      <c r="A91" s="28">
        <v>42128.104189814818</v>
      </c>
      <c r="B91">
        <v>2</v>
      </c>
      <c r="C91">
        <v>48</v>
      </c>
      <c r="D91">
        <v>24</v>
      </c>
      <c r="E91">
        <v>2</v>
      </c>
      <c r="F91">
        <v>7.5498046875</v>
      </c>
      <c r="G91">
        <v>7.5498046875</v>
      </c>
      <c r="H91">
        <v>7.8602023394304013</v>
      </c>
      <c r="I91">
        <v>6.1420256845774892</v>
      </c>
      <c r="J91">
        <v>1.6302645575192527</v>
      </c>
      <c r="K91">
        <v>7.3923010947452251E-3</v>
      </c>
      <c r="L91">
        <v>92.139797660569599</v>
      </c>
      <c r="M91">
        <v>832443.61</v>
      </c>
      <c r="N91">
        <v>9758169.3800000008</v>
      </c>
      <c r="O91">
        <v>10590612.99</v>
      </c>
      <c r="P91">
        <v>516599.796875</v>
      </c>
    </row>
    <row r="92" spans="1:16" x14ac:dyDescent="0.25">
      <c r="A92" s="28">
        <v>42128.104189814818</v>
      </c>
      <c r="B92">
        <v>3</v>
      </c>
      <c r="C92">
        <v>48</v>
      </c>
      <c r="D92">
        <v>24</v>
      </c>
      <c r="E92">
        <v>2</v>
      </c>
      <c r="F92">
        <v>7.259765625</v>
      </c>
      <c r="G92">
        <v>7.259765625</v>
      </c>
      <c r="H92">
        <v>8.1593669543292542</v>
      </c>
      <c r="I92">
        <v>6.5732188004977514</v>
      </c>
      <c r="J92">
        <v>1.483315501034695</v>
      </c>
      <c r="K92">
        <v>1.2693132684719414E-2</v>
      </c>
      <c r="L92">
        <v>91.840633045670742</v>
      </c>
      <c r="M92">
        <v>863342.38</v>
      </c>
      <c r="N92">
        <v>9717654.7100000009</v>
      </c>
      <c r="O92">
        <v>10580997.09</v>
      </c>
      <c r="P92">
        <v>516599.796875</v>
      </c>
    </row>
    <row r="93" spans="1:16" x14ac:dyDescent="0.25">
      <c r="A93" s="28">
        <v>42128.104189814818</v>
      </c>
      <c r="B93">
        <v>4</v>
      </c>
      <c r="C93">
        <v>48</v>
      </c>
      <c r="D93">
        <v>24</v>
      </c>
      <c r="E93">
        <v>2</v>
      </c>
      <c r="F93">
        <v>2.6298828125</v>
      </c>
      <c r="G93">
        <v>2.6298828125</v>
      </c>
      <c r="H93">
        <v>3.5079077118890929</v>
      </c>
      <c r="I93">
        <v>2.3088704537822045</v>
      </c>
      <c r="J93">
        <v>1.1610462229092013</v>
      </c>
      <c r="K93">
        <v>1.5038734868300726E-2</v>
      </c>
      <c r="L93">
        <v>96.492092288110911</v>
      </c>
      <c r="M93">
        <v>372060.77</v>
      </c>
      <c r="N93">
        <v>10234283.539999999</v>
      </c>
      <c r="O93">
        <v>10606344.310000001</v>
      </c>
      <c r="P93">
        <v>451959.83203125</v>
      </c>
    </row>
    <row r="94" spans="1:16" x14ac:dyDescent="0.25">
      <c r="A94" s="28">
        <v>42128.114618055559</v>
      </c>
      <c r="B94">
        <v>1</v>
      </c>
      <c r="C94">
        <v>48</v>
      </c>
      <c r="D94">
        <v>24</v>
      </c>
      <c r="E94">
        <v>2</v>
      </c>
      <c r="F94">
        <v>3.4091796875</v>
      </c>
      <c r="G94">
        <v>3.4091796875</v>
      </c>
      <c r="H94">
        <v>5.9842955658370718</v>
      </c>
      <c r="I94">
        <v>4.1525542108043627</v>
      </c>
      <c r="J94">
        <v>1.7084310404474026</v>
      </c>
      <c r="K94">
        <v>7.4774396333699049E-3</v>
      </c>
      <c r="L94">
        <v>94.015704434162927</v>
      </c>
      <c r="M94">
        <v>635793.02</v>
      </c>
      <c r="N94">
        <v>9988565.5700000003</v>
      </c>
      <c r="O94">
        <v>10624358.59</v>
      </c>
      <c r="P94">
        <v>516599.796875</v>
      </c>
    </row>
    <row r="95" spans="1:16" x14ac:dyDescent="0.25">
      <c r="A95" s="28">
        <v>42128.114618055559</v>
      </c>
      <c r="B95">
        <v>2</v>
      </c>
      <c r="C95">
        <v>48</v>
      </c>
      <c r="D95">
        <v>24</v>
      </c>
      <c r="E95">
        <v>2</v>
      </c>
      <c r="F95">
        <v>6.279296875</v>
      </c>
      <c r="G95">
        <v>6.279296875</v>
      </c>
      <c r="H95">
        <v>7.9184998970301983</v>
      </c>
      <c r="I95">
        <v>6.1946319953430891</v>
      </c>
      <c r="J95">
        <v>1.635098350096035</v>
      </c>
      <c r="K95">
        <v>7.402713450955483E-3</v>
      </c>
      <c r="L95">
        <v>92.081500102969798</v>
      </c>
      <c r="M95">
        <v>841994.93</v>
      </c>
      <c r="N95">
        <v>9791268.1999999993</v>
      </c>
      <c r="O95">
        <v>10633263.130000001</v>
      </c>
      <c r="P95">
        <v>516599.796875</v>
      </c>
    </row>
    <row r="96" spans="1:16" x14ac:dyDescent="0.25">
      <c r="A96" s="28">
        <v>42128.114618055559</v>
      </c>
      <c r="B96">
        <v>3</v>
      </c>
      <c r="C96">
        <v>48</v>
      </c>
      <c r="D96">
        <v>24</v>
      </c>
      <c r="E96">
        <v>2</v>
      </c>
      <c r="F96">
        <v>8.8193359375</v>
      </c>
      <c r="G96">
        <v>8.8193359375</v>
      </c>
      <c r="H96">
        <v>8.2316562100425159</v>
      </c>
      <c r="I96">
        <v>6.6388251855769314</v>
      </c>
      <c r="J96">
        <v>1.4889358186411543</v>
      </c>
      <c r="K96">
        <v>1.2680319958083471E-2</v>
      </c>
      <c r="L96">
        <v>91.768343789957484</v>
      </c>
      <c r="M96">
        <v>874500.52</v>
      </c>
      <c r="N96">
        <v>9749127.3100000005</v>
      </c>
      <c r="O96">
        <v>10623627.83</v>
      </c>
      <c r="P96">
        <v>516599.796875</v>
      </c>
    </row>
    <row r="97" spans="1:16" x14ac:dyDescent="0.25">
      <c r="A97" s="28">
        <v>42128.114618055559</v>
      </c>
      <c r="B97">
        <v>4</v>
      </c>
      <c r="C97">
        <v>48</v>
      </c>
      <c r="D97">
        <v>24</v>
      </c>
      <c r="E97">
        <v>2</v>
      </c>
      <c r="F97">
        <v>2.9892578125</v>
      </c>
      <c r="G97">
        <v>2.9892578125</v>
      </c>
      <c r="H97">
        <v>3.5110210821734187</v>
      </c>
      <c r="I97">
        <v>2.3110712978347348</v>
      </c>
      <c r="J97">
        <v>1.161821245673869</v>
      </c>
      <c r="K97">
        <v>1.5047889726648143E-2</v>
      </c>
      <c r="L97">
        <v>96.488978917826586</v>
      </c>
      <c r="M97">
        <v>373898.02</v>
      </c>
      <c r="N97">
        <v>10275369.279999999</v>
      </c>
      <c r="O97">
        <v>10649267.300000001</v>
      </c>
      <c r="P97">
        <v>451959.83203125</v>
      </c>
    </row>
    <row r="98" spans="1:16" x14ac:dyDescent="0.25">
      <c r="A98" s="28">
        <v>42128.1250462963</v>
      </c>
      <c r="B98">
        <v>1</v>
      </c>
      <c r="C98">
        <v>48</v>
      </c>
      <c r="D98">
        <v>24</v>
      </c>
      <c r="E98">
        <v>2</v>
      </c>
      <c r="F98">
        <v>2.9296875</v>
      </c>
      <c r="G98">
        <v>2.9296875</v>
      </c>
      <c r="H98">
        <v>6.0036109627363006</v>
      </c>
      <c r="I98">
        <v>4.1667948683585969</v>
      </c>
      <c r="J98">
        <v>1.7125984865193458</v>
      </c>
      <c r="K98">
        <v>7.4764386226860748E-3</v>
      </c>
      <c r="L98">
        <v>93.996389037263697</v>
      </c>
      <c r="M98">
        <v>640411.84</v>
      </c>
      <c r="N98">
        <v>10026699.07</v>
      </c>
      <c r="O98">
        <v>10667110.91</v>
      </c>
      <c r="P98">
        <v>516599.796875</v>
      </c>
    </row>
    <row r="99" spans="1:16" x14ac:dyDescent="0.25">
      <c r="A99" s="28">
        <v>42128.1250462963</v>
      </c>
      <c r="B99">
        <v>2</v>
      </c>
      <c r="C99">
        <v>48</v>
      </c>
      <c r="D99">
        <v>24</v>
      </c>
      <c r="E99">
        <v>2</v>
      </c>
      <c r="F99">
        <v>8.2890625</v>
      </c>
      <c r="G99">
        <v>8.2890625</v>
      </c>
      <c r="H99">
        <v>7.979115622396753</v>
      </c>
      <c r="I99">
        <v>6.2493503466490941</v>
      </c>
      <c r="J99">
        <v>1.6401122586003454</v>
      </c>
      <c r="K99">
        <v>7.3971649425865508E-3</v>
      </c>
      <c r="L99">
        <v>92.020884377603252</v>
      </c>
      <c r="M99">
        <v>851848.95</v>
      </c>
      <c r="N99">
        <v>9824133.0800000001</v>
      </c>
      <c r="O99">
        <v>10675982.029999999</v>
      </c>
      <c r="P99">
        <v>516599.796875</v>
      </c>
    </row>
    <row r="100" spans="1:16" x14ac:dyDescent="0.25">
      <c r="A100" s="28">
        <v>42128.1250462963</v>
      </c>
      <c r="B100">
        <v>3</v>
      </c>
      <c r="C100">
        <v>48</v>
      </c>
      <c r="D100">
        <v>24</v>
      </c>
      <c r="E100">
        <v>2</v>
      </c>
      <c r="F100">
        <v>6.9296875</v>
      </c>
      <c r="G100">
        <v>6.9296875</v>
      </c>
      <c r="H100">
        <v>8.2982244752570029</v>
      </c>
      <c r="I100">
        <v>6.6989484204999306</v>
      </c>
      <c r="J100">
        <v>1.4943949012325386</v>
      </c>
      <c r="K100">
        <v>1.2687599228454463E-2</v>
      </c>
      <c r="L100">
        <v>91.701775524742999</v>
      </c>
      <c r="M100">
        <v>885115.22</v>
      </c>
      <c r="N100">
        <v>9781205.3000000007</v>
      </c>
      <c r="O100">
        <v>10666320.52</v>
      </c>
      <c r="P100">
        <v>516599.796875</v>
      </c>
    </row>
    <row r="101" spans="1:16" x14ac:dyDescent="0.25">
      <c r="A101" s="28">
        <v>42128.1250462963</v>
      </c>
      <c r="B101">
        <v>4</v>
      </c>
      <c r="C101">
        <v>48</v>
      </c>
      <c r="D101">
        <v>24</v>
      </c>
      <c r="E101">
        <v>2</v>
      </c>
      <c r="F101">
        <v>2.0498046875</v>
      </c>
      <c r="G101">
        <v>2.0498046875</v>
      </c>
      <c r="H101">
        <v>3.5165710076085555</v>
      </c>
      <c r="I101">
        <v>2.315448998232442</v>
      </c>
      <c r="J101">
        <v>1.1628252967423085</v>
      </c>
      <c r="K101">
        <v>1.5030513696410407E-2</v>
      </c>
      <c r="L101">
        <v>96.483428992391438</v>
      </c>
      <c r="M101">
        <v>376000.54</v>
      </c>
      <c r="N101">
        <v>10316248.789999999</v>
      </c>
      <c r="O101">
        <v>10692249.33</v>
      </c>
      <c r="P101">
        <v>451959.83203125</v>
      </c>
    </row>
    <row r="102" spans="1:16" x14ac:dyDescent="0.25">
      <c r="A102" s="28">
        <v>42128.13548611111</v>
      </c>
      <c r="B102">
        <v>1</v>
      </c>
      <c r="C102">
        <v>48</v>
      </c>
      <c r="D102">
        <v>24</v>
      </c>
      <c r="E102">
        <v>2</v>
      </c>
      <c r="F102">
        <v>2.939453125</v>
      </c>
      <c r="G102">
        <v>2.939453125</v>
      </c>
      <c r="H102">
        <v>6.0196007039738628</v>
      </c>
      <c r="I102">
        <v>4.1788776528670279</v>
      </c>
      <c r="J102">
        <v>1.7158209022242252</v>
      </c>
      <c r="K102">
        <v>7.462926646183035E-3</v>
      </c>
      <c r="L102">
        <v>93.980399296026135</v>
      </c>
      <c r="M102">
        <v>644667.42000000004</v>
      </c>
      <c r="N102">
        <v>10064804.050000001</v>
      </c>
      <c r="O102">
        <v>10709471.470000001</v>
      </c>
      <c r="P102">
        <v>516599.796875</v>
      </c>
    </row>
    <row r="103" spans="1:16" x14ac:dyDescent="0.25">
      <c r="A103" s="28">
        <v>42128.13548611111</v>
      </c>
      <c r="B103">
        <v>2</v>
      </c>
      <c r="C103">
        <v>48</v>
      </c>
      <c r="D103">
        <v>24</v>
      </c>
      <c r="E103">
        <v>2</v>
      </c>
      <c r="F103">
        <v>8.939453125</v>
      </c>
      <c r="G103">
        <v>8.939453125</v>
      </c>
      <c r="H103">
        <v>8.0431237501362443</v>
      </c>
      <c r="I103">
        <v>6.3080478787982406</v>
      </c>
      <c r="J103">
        <v>1.6446416970351132</v>
      </c>
      <c r="K103">
        <v>7.3929680921913567E-3</v>
      </c>
      <c r="L103">
        <v>91.956876249863754</v>
      </c>
      <c r="M103">
        <v>862085.59</v>
      </c>
      <c r="N103">
        <v>9856207.6600000001</v>
      </c>
      <c r="O103">
        <v>10718293.25</v>
      </c>
      <c r="P103">
        <v>516599.796875</v>
      </c>
    </row>
    <row r="104" spans="1:16" x14ac:dyDescent="0.25">
      <c r="A104" s="28">
        <v>42128.13548611111</v>
      </c>
      <c r="B104">
        <v>3</v>
      </c>
      <c r="C104">
        <v>48</v>
      </c>
      <c r="D104">
        <v>24</v>
      </c>
      <c r="E104">
        <v>2</v>
      </c>
      <c r="F104">
        <v>8.4599609375</v>
      </c>
      <c r="G104">
        <v>8.4599609375</v>
      </c>
      <c r="H104">
        <v>8.3521972407905736</v>
      </c>
      <c r="I104">
        <v>6.7474984425353144</v>
      </c>
      <c r="J104">
        <v>1.4990422213061954</v>
      </c>
      <c r="K104">
        <v>1.2682285476934995E-2</v>
      </c>
      <c r="L104">
        <v>91.647802759209426</v>
      </c>
      <c r="M104">
        <v>894406.54</v>
      </c>
      <c r="N104">
        <v>9814231.1300000008</v>
      </c>
      <c r="O104">
        <v>10708637.67</v>
      </c>
      <c r="P104">
        <v>516599.796875</v>
      </c>
    </row>
    <row r="105" spans="1:16" x14ac:dyDescent="0.25">
      <c r="A105" s="28">
        <v>42128.13548611111</v>
      </c>
      <c r="B105">
        <v>4</v>
      </c>
      <c r="C105">
        <v>48</v>
      </c>
      <c r="D105">
        <v>24</v>
      </c>
      <c r="E105">
        <v>2</v>
      </c>
      <c r="F105">
        <v>1.859375</v>
      </c>
      <c r="G105">
        <v>1.859375</v>
      </c>
      <c r="H105">
        <v>3.5180410490394562</v>
      </c>
      <c r="I105">
        <v>2.3165485577402469</v>
      </c>
      <c r="J105">
        <v>1.1631424008690121</v>
      </c>
      <c r="K105">
        <v>1.5017367113844391E-2</v>
      </c>
      <c r="L105">
        <v>96.481958950960546</v>
      </c>
      <c r="M105">
        <v>377656</v>
      </c>
      <c r="N105">
        <v>10357181.789999999</v>
      </c>
      <c r="O105">
        <v>10734837.789999999</v>
      </c>
      <c r="P105">
        <v>451959.83203125</v>
      </c>
    </row>
    <row r="106" spans="1:16" x14ac:dyDescent="0.25">
      <c r="A106" s="28">
        <v>42128.145833333336</v>
      </c>
      <c r="B106">
        <v>1</v>
      </c>
      <c r="C106">
        <v>48</v>
      </c>
      <c r="D106">
        <v>24</v>
      </c>
      <c r="E106">
        <v>2</v>
      </c>
      <c r="F106">
        <v>3.83984375</v>
      </c>
      <c r="G106">
        <v>3.83984375</v>
      </c>
      <c r="H106">
        <v>6.0416822780780919</v>
      </c>
      <c r="I106">
        <v>4.1959895091910449</v>
      </c>
      <c r="J106">
        <v>1.7199222115449477</v>
      </c>
      <c r="K106">
        <v>7.4552525737871418E-3</v>
      </c>
      <c r="L106">
        <v>93.958317721921915</v>
      </c>
      <c r="M106">
        <v>649610.79</v>
      </c>
      <c r="N106">
        <v>10102540.02</v>
      </c>
      <c r="O106">
        <v>10752150.810000001</v>
      </c>
      <c r="P106">
        <v>516599.796875</v>
      </c>
    </row>
    <row r="107" spans="1:16" x14ac:dyDescent="0.25">
      <c r="A107" s="28">
        <v>42128.145833333336</v>
      </c>
      <c r="B107">
        <v>2</v>
      </c>
      <c r="C107">
        <v>48</v>
      </c>
      <c r="D107">
        <v>24</v>
      </c>
      <c r="E107">
        <v>2</v>
      </c>
      <c r="F107">
        <v>8.3994140625</v>
      </c>
      <c r="G107">
        <v>8.3994140625</v>
      </c>
      <c r="H107">
        <v>8.1101075938159362</v>
      </c>
      <c r="I107">
        <v>6.3692116211516225</v>
      </c>
      <c r="J107">
        <v>1.6496098263345385</v>
      </c>
      <c r="K107">
        <v>7.3895012178770234E-3</v>
      </c>
      <c r="L107">
        <v>91.88989240618406</v>
      </c>
      <c r="M107">
        <v>872724.04</v>
      </c>
      <c r="N107">
        <v>9888218.7699999996</v>
      </c>
      <c r="O107">
        <v>10760942.810000001</v>
      </c>
      <c r="P107">
        <v>516599.796875</v>
      </c>
    </row>
    <row r="108" spans="1:16" x14ac:dyDescent="0.25">
      <c r="A108" s="28">
        <v>42128.145833333336</v>
      </c>
      <c r="B108">
        <v>3</v>
      </c>
      <c r="C108">
        <v>48</v>
      </c>
      <c r="D108">
        <v>24</v>
      </c>
      <c r="E108">
        <v>2</v>
      </c>
      <c r="F108">
        <v>8</v>
      </c>
      <c r="G108">
        <v>8</v>
      </c>
      <c r="H108">
        <v>8.406044538438957</v>
      </c>
      <c r="I108">
        <v>6.7957620692833949</v>
      </c>
      <c r="J108">
        <v>1.5038137043936379</v>
      </c>
      <c r="K108">
        <v>1.2669484809226047E-2</v>
      </c>
      <c r="L108">
        <v>91.593955461561038</v>
      </c>
      <c r="M108">
        <v>903756.2</v>
      </c>
      <c r="N108">
        <v>9847509.6999999993</v>
      </c>
      <c r="O108">
        <v>10751265.9</v>
      </c>
      <c r="P108">
        <v>516599.796875</v>
      </c>
    </row>
    <row r="109" spans="1:16" x14ac:dyDescent="0.25">
      <c r="A109" s="28">
        <v>42128.145833333336</v>
      </c>
      <c r="B109">
        <v>4</v>
      </c>
      <c r="C109">
        <v>48</v>
      </c>
      <c r="D109">
        <v>24</v>
      </c>
      <c r="E109">
        <v>2</v>
      </c>
      <c r="F109">
        <v>2.3291015625</v>
      </c>
      <c r="G109">
        <v>2.3291015625</v>
      </c>
      <c r="H109">
        <v>3.520410341408835</v>
      </c>
      <c r="I109">
        <v>2.3185758327250037</v>
      </c>
      <c r="J109">
        <v>1.163434881611755</v>
      </c>
      <c r="K109">
        <v>1.5010724509557965E-2</v>
      </c>
      <c r="L109">
        <v>96.479589658591166</v>
      </c>
      <c r="M109">
        <v>379421.41</v>
      </c>
      <c r="N109">
        <v>10398339.51</v>
      </c>
      <c r="O109">
        <v>10777760.92</v>
      </c>
      <c r="P109">
        <v>451959.83203125</v>
      </c>
    </row>
    <row r="110" spans="1:16" x14ac:dyDescent="0.25">
      <c r="A110" s="28">
        <v>42128.156261574077</v>
      </c>
      <c r="B110">
        <v>1</v>
      </c>
      <c r="C110">
        <v>48</v>
      </c>
      <c r="D110">
        <v>24</v>
      </c>
      <c r="E110">
        <v>2</v>
      </c>
      <c r="F110">
        <v>4.51953125</v>
      </c>
      <c r="G110">
        <v>4.51953125</v>
      </c>
      <c r="H110">
        <v>6.0633686402304958</v>
      </c>
      <c r="I110">
        <v>4.2128404249489382</v>
      </c>
      <c r="J110">
        <v>1.7239081400340879</v>
      </c>
      <c r="K110">
        <v>7.4503867352860636E-3</v>
      </c>
      <c r="L110">
        <v>93.936631359769507</v>
      </c>
      <c r="M110">
        <v>654524.98</v>
      </c>
      <c r="N110">
        <v>10140216.67</v>
      </c>
      <c r="O110">
        <v>10794741.65</v>
      </c>
      <c r="P110">
        <v>516599.796875</v>
      </c>
    </row>
    <row r="111" spans="1:16" x14ac:dyDescent="0.25">
      <c r="A111" s="28">
        <v>42128.156261574077</v>
      </c>
      <c r="B111">
        <v>2</v>
      </c>
      <c r="C111">
        <v>48</v>
      </c>
      <c r="D111">
        <v>24</v>
      </c>
      <c r="E111">
        <v>2</v>
      </c>
      <c r="F111">
        <v>8.26953125</v>
      </c>
      <c r="G111">
        <v>8.26953125</v>
      </c>
      <c r="H111">
        <v>8.1764788430609574</v>
      </c>
      <c r="I111">
        <v>6.4297984545459661</v>
      </c>
      <c r="J111">
        <v>1.6545506035741897</v>
      </c>
      <c r="K111">
        <v>7.4010135518531184E-3</v>
      </c>
      <c r="L111">
        <v>91.823521156939037</v>
      </c>
      <c r="M111">
        <v>883347.55</v>
      </c>
      <c r="N111">
        <v>9920172.7300000004</v>
      </c>
      <c r="O111">
        <v>10803520.279999999</v>
      </c>
      <c r="P111">
        <v>516599.796875</v>
      </c>
    </row>
    <row r="112" spans="1:16" x14ac:dyDescent="0.25">
      <c r="A112" s="28">
        <v>42128.156261574077</v>
      </c>
      <c r="B112">
        <v>3</v>
      </c>
      <c r="C112">
        <v>48</v>
      </c>
      <c r="D112">
        <v>24</v>
      </c>
      <c r="E112">
        <v>2</v>
      </c>
      <c r="F112">
        <v>7.919921875</v>
      </c>
      <c r="G112">
        <v>7.919921875</v>
      </c>
      <c r="H112">
        <v>8.4719656057372887</v>
      </c>
      <c r="I112">
        <v>6.8530369652078278</v>
      </c>
      <c r="J112">
        <v>1.5109491772245114</v>
      </c>
      <c r="K112">
        <v>1.2654772709593585E-2</v>
      </c>
      <c r="L112">
        <v>91.528034394262704</v>
      </c>
      <c r="M112">
        <v>914446.45</v>
      </c>
      <c r="N112">
        <v>9879346.7799999993</v>
      </c>
      <c r="O112">
        <v>10793793.23</v>
      </c>
      <c r="P112">
        <v>516599.796875</v>
      </c>
    </row>
    <row r="113" spans="1:16" x14ac:dyDescent="0.25">
      <c r="A113" s="28">
        <v>42128.156261574077</v>
      </c>
      <c r="B113">
        <v>4</v>
      </c>
      <c r="C113">
        <v>48</v>
      </c>
      <c r="D113">
        <v>24</v>
      </c>
      <c r="E113">
        <v>2</v>
      </c>
      <c r="F113">
        <v>2.1591796875</v>
      </c>
      <c r="G113">
        <v>2.1591796875</v>
      </c>
      <c r="H113">
        <v>3.5227882690093857</v>
      </c>
      <c r="I113">
        <v>2.3204214049159475</v>
      </c>
      <c r="J113">
        <v>1.16389282933105</v>
      </c>
      <c r="K113">
        <v>1.5003999302877262E-2</v>
      </c>
      <c r="L113">
        <v>96.477211730990618</v>
      </c>
      <c r="M113">
        <v>381188.53</v>
      </c>
      <c r="N113">
        <v>10439459.800000001</v>
      </c>
      <c r="O113">
        <v>10820648.33</v>
      </c>
      <c r="P113">
        <v>451959.83203125</v>
      </c>
    </row>
    <row r="114" spans="1:16" x14ac:dyDescent="0.25">
      <c r="A114" s="28">
        <v>42128.166678240741</v>
      </c>
      <c r="B114">
        <v>1</v>
      </c>
      <c r="C114">
        <v>48</v>
      </c>
      <c r="D114">
        <v>24</v>
      </c>
      <c r="E114">
        <v>2</v>
      </c>
      <c r="F114">
        <v>3.2890625</v>
      </c>
      <c r="G114">
        <v>3.2890625</v>
      </c>
      <c r="H114">
        <v>6.0819150290838078</v>
      </c>
      <c r="I114">
        <v>4.2271569583287949</v>
      </c>
      <c r="J114">
        <v>1.7274042508604646</v>
      </c>
      <c r="K114">
        <v>7.4414057738416053E-3</v>
      </c>
      <c r="L114">
        <v>93.918084970916198</v>
      </c>
      <c r="M114">
        <v>659125.62</v>
      </c>
      <c r="N114">
        <v>10178342.789999999</v>
      </c>
      <c r="O114">
        <v>10837468.41</v>
      </c>
      <c r="P114">
        <v>516599.796875</v>
      </c>
    </row>
    <row r="115" spans="1:16" x14ac:dyDescent="0.25">
      <c r="A115" s="28">
        <v>42128.166678240741</v>
      </c>
      <c r="B115">
        <v>2</v>
      </c>
      <c r="C115">
        <v>48</v>
      </c>
      <c r="D115">
        <v>24</v>
      </c>
      <c r="E115">
        <v>2</v>
      </c>
      <c r="F115">
        <v>7.08984375</v>
      </c>
      <c r="G115">
        <v>7.08984375</v>
      </c>
      <c r="H115">
        <v>8.2378579331414805</v>
      </c>
      <c r="I115">
        <v>6.4858910324828951</v>
      </c>
      <c r="J115">
        <v>1.6590560859112211</v>
      </c>
      <c r="K115">
        <v>7.3937876557844942E-3</v>
      </c>
      <c r="L115">
        <v>91.762142066858516</v>
      </c>
      <c r="M115">
        <v>893488.98</v>
      </c>
      <c r="N115">
        <v>9952643.4399999995</v>
      </c>
      <c r="O115">
        <v>10846132.42</v>
      </c>
      <c r="P115">
        <v>516599.796875</v>
      </c>
    </row>
    <row r="116" spans="1:16" x14ac:dyDescent="0.25">
      <c r="A116" s="28">
        <v>42128.166678240741</v>
      </c>
      <c r="B116">
        <v>3</v>
      </c>
      <c r="C116">
        <v>48</v>
      </c>
      <c r="D116">
        <v>24</v>
      </c>
      <c r="E116">
        <v>2</v>
      </c>
      <c r="F116">
        <v>7.859375</v>
      </c>
      <c r="G116">
        <v>7.859375</v>
      </c>
      <c r="H116">
        <v>8.5356905533056189</v>
      </c>
      <c r="I116">
        <v>6.9099296722033019</v>
      </c>
      <c r="J116">
        <v>1.5166776296686282</v>
      </c>
      <c r="K116">
        <v>1.2652907840124463E-2</v>
      </c>
      <c r="L116">
        <v>91.464309446694386</v>
      </c>
      <c r="M116">
        <v>924961.77</v>
      </c>
      <c r="N116">
        <v>9911440.5600000005</v>
      </c>
      <c r="O116">
        <v>10836402.33</v>
      </c>
      <c r="P116">
        <v>516599.796875</v>
      </c>
    </row>
    <row r="117" spans="1:16" x14ac:dyDescent="0.25">
      <c r="A117" s="28">
        <v>42128.166678240741</v>
      </c>
      <c r="B117">
        <v>4</v>
      </c>
      <c r="C117">
        <v>48</v>
      </c>
      <c r="D117">
        <v>24</v>
      </c>
      <c r="E117">
        <v>2</v>
      </c>
      <c r="F117">
        <v>2.1298828125</v>
      </c>
      <c r="G117">
        <v>2.1298828125</v>
      </c>
      <c r="H117">
        <v>3.5250495655340877</v>
      </c>
      <c r="I117">
        <v>2.322218333708975</v>
      </c>
      <c r="J117">
        <v>1.1642911253937798</v>
      </c>
      <c r="K117">
        <v>1.4989516989610934E-2</v>
      </c>
      <c r="L117">
        <v>96.47495043446591</v>
      </c>
      <c r="M117">
        <v>382947.01</v>
      </c>
      <c r="N117">
        <v>10480645.199999999</v>
      </c>
      <c r="O117">
        <v>10863592.210000001</v>
      </c>
      <c r="P117">
        <v>451959.83203125</v>
      </c>
    </row>
    <row r="118" spans="1:16" x14ac:dyDescent="0.25">
      <c r="A118" s="28">
        <v>42128.177094907405</v>
      </c>
      <c r="B118">
        <v>1</v>
      </c>
      <c r="C118">
        <v>48</v>
      </c>
      <c r="D118">
        <v>24</v>
      </c>
      <c r="E118">
        <v>2</v>
      </c>
      <c r="F118">
        <v>2.599609375</v>
      </c>
      <c r="G118">
        <v>2.599609375</v>
      </c>
      <c r="H118">
        <v>6.0976800213616089</v>
      </c>
      <c r="I118">
        <v>4.2390655396803778</v>
      </c>
      <c r="J118">
        <v>1.7305974758640899</v>
      </c>
      <c r="K118">
        <v>7.4365009194629992E-3</v>
      </c>
      <c r="L118">
        <v>93.902319978638388</v>
      </c>
      <c r="M118">
        <v>663434.72</v>
      </c>
      <c r="N118">
        <v>10216682.27</v>
      </c>
      <c r="O118">
        <v>10880116.99</v>
      </c>
      <c r="P118">
        <v>516599.796875</v>
      </c>
    </row>
    <row r="119" spans="1:16" x14ac:dyDescent="0.25">
      <c r="A119" s="28">
        <v>42128.177094907405</v>
      </c>
      <c r="B119">
        <v>2</v>
      </c>
      <c r="C119">
        <v>48</v>
      </c>
      <c r="D119">
        <v>24</v>
      </c>
      <c r="E119">
        <v>2</v>
      </c>
      <c r="F119">
        <v>3.6796875</v>
      </c>
      <c r="G119">
        <v>3.6796875</v>
      </c>
      <c r="H119">
        <v>8.2584447588824297</v>
      </c>
      <c r="I119">
        <v>6.50326302510455</v>
      </c>
      <c r="J119">
        <v>1.6619167858804123</v>
      </c>
      <c r="K119">
        <v>7.3952160858216601E-3</v>
      </c>
      <c r="L119">
        <v>91.741555241117567</v>
      </c>
      <c r="M119">
        <v>899245.21</v>
      </c>
      <c r="N119">
        <v>9989550.8800000008</v>
      </c>
      <c r="O119">
        <v>10888796.09</v>
      </c>
      <c r="P119">
        <v>516599.796875</v>
      </c>
    </row>
    <row r="120" spans="1:16" x14ac:dyDescent="0.25">
      <c r="A120" s="28">
        <v>42128.177094907405</v>
      </c>
      <c r="B120">
        <v>3</v>
      </c>
      <c r="C120">
        <v>48</v>
      </c>
      <c r="D120">
        <v>24</v>
      </c>
      <c r="E120">
        <v>2</v>
      </c>
      <c r="F120">
        <v>3.669921875</v>
      </c>
      <c r="G120">
        <v>3.669921875</v>
      </c>
      <c r="H120">
        <v>8.5536916021436777</v>
      </c>
      <c r="I120">
        <v>6.9237380424150308</v>
      </c>
      <c r="J120">
        <v>1.5203588829581203</v>
      </c>
      <c r="K120">
        <v>1.2642852736740354E-2</v>
      </c>
      <c r="L120">
        <v>91.446308397856328</v>
      </c>
      <c r="M120">
        <v>930558.85</v>
      </c>
      <c r="N120">
        <v>9948473.1899999995</v>
      </c>
      <c r="O120">
        <v>10879032.039999999</v>
      </c>
      <c r="P120">
        <v>516599.796875</v>
      </c>
    </row>
    <row r="121" spans="1:16" x14ac:dyDescent="0.25">
      <c r="A121" s="28">
        <v>42128.177094907405</v>
      </c>
      <c r="B121">
        <v>4</v>
      </c>
      <c r="C121">
        <v>48</v>
      </c>
      <c r="D121">
        <v>24</v>
      </c>
      <c r="E121">
        <v>2</v>
      </c>
      <c r="F121">
        <v>1.859375</v>
      </c>
      <c r="G121">
        <v>1.859375</v>
      </c>
      <c r="H121">
        <v>3.5264912980992569</v>
      </c>
      <c r="I121">
        <v>2.3232599946279726</v>
      </c>
      <c r="J121">
        <v>1.1646339408810154</v>
      </c>
      <c r="K121">
        <v>1.4990698433727091E-2</v>
      </c>
      <c r="L121">
        <v>96.473508701900741</v>
      </c>
      <c r="M121">
        <v>384616.65</v>
      </c>
      <c r="N121">
        <v>10521879.85</v>
      </c>
      <c r="O121">
        <v>10906496.5</v>
      </c>
      <c r="P121">
        <v>451959.83203125</v>
      </c>
    </row>
    <row r="122" spans="1:16" x14ac:dyDescent="0.25">
      <c r="A122" s="28">
        <v>42128.187523148146</v>
      </c>
      <c r="B122">
        <v>1</v>
      </c>
      <c r="C122">
        <v>48</v>
      </c>
      <c r="D122">
        <v>24</v>
      </c>
      <c r="E122">
        <v>2</v>
      </c>
      <c r="F122">
        <v>4.599609375</v>
      </c>
      <c r="G122">
        <v>4.599609375</v>
      </c>
      <c r="H122">
        <v>6.134913918102102</v>
      </c>
      <c r="I122">
        <v>4.2720913643702811</v>
      </c>
      <c r="J122">
        <v>1.7339699135822966</v>
      </c>
      <c r="K122">
        <v>7.4302092540520252E-3</v>
      </c>
      <c r="L122">
        <v>93.8650860818979</v>
      </c>
      <c r="M122">
        <v>670106.93999999994</v>
      </c>
      <c r="N122">
        <v>10252734.83</v>
      </c>
      <c r="O122">
        <v>10922841.77</v>
      </c>
      <c r="P122">
        <v>516599.796875</v>
      </c>
    </row>
    <row r="123" spans="1:16" x14ac:dyDescent="0.25">
      <c r="A123" s="28">
        <v>42128.187523148146</v>
      </c>
      <c r="B123">
        <v>2</v>
      </c>
      <c r="C123">
        <v>48</v>
      </c>
      <c r="D123">
        <v>24</v>
      </c>
      <c r="E123">
        <v>2</v>
      </c>
      <c r="F123">
        <v>3.2392578125</v>
      </c>
      <c r="G123">
        <v>3.2392578125</v>
      </c>
      <c r="H123">
        <v>8.2846726158325286</v>
      </c>
      <c r="I123">
        <v>6.5267398847911489</v>
      </c>
      <c r="J123">
        <v>1.6642980339761682</v>
      </c>
      <c r="K123">
        <v>7.3916496109335946E-3</v>
      </c>
      <c r="L123">
        <v>91.715327384167466</v>
      </c>
      <c r="M123">
        <v>905641.03</v>
      </c>
      <c r="N123">
        <v>10025883.630000001</v>
      </c>
      <c r="O123">
        <v>10931524.66</v>
      </c>
      <c r="P123">
        <v>516599.796875</v>
      </c>
    </row>
    <row r="124" spans="1:16" x14ac:dyDescent="0.25">
      <c r="A124" s="28">
        <v>42128.187523148146</v>
      </c>
      <c r="B124">
        <v>3</v>
      </c>
      <c r="C124">
        <v>48</v>
      </c>
      <c r="D124">
        <v>24</v>
      </c>
      <c r="E124">
        <v>2</v>
      </c>
      <c r="F124">
        <v>4.08984375</v>
      </c>
      <c r="G124">
        <v>4.08984375</v>
      </c>
      <c r="H124">
        <v>8.5815745246880066</v>
      </c>
      <c r="I124">
        <v>6.9476539367962591</v>
      </c>
      <c r="J124">
        <v>1.5237477077825432</v>
      </c>
      <c r="K124">
        <v>1.2650575181914349E-2</v>
      </c>
      <c r="L124">
        <v>91.418425475311992</v>
      </c>
      <c r="M124">
        <v>937255.27</v>
      </c>
      <c r="N124">
        <v>9984461.5700000003</v>
      </c>
      <c r="O124">
        <v>10921716.84</v>
      </c>
      <c r="P124">
        <v>516599.796875</v>
      </c>
    </row>
    <row r="125" spans="1:16" x14ac:dyDescent="0.25">
      <c r="A125" s="28">
        <v>42128.187523148146</v>
      </c>
      <c r="B125">
        <v>4</v>
      </c>
      <c r="C125">
        <v>48</v>
      </c>
      <c r="D125">
        <v>24</v>
      </c>
      <c r="E125">
        <v>2</v>
      </c>
      <c r="F125">
        <v>3.0791015625</v>
      </c>
      <c r="G125">
        <v>3.0791015625</v>
      </c>
      <c r="H125">
        <v>3.5473853399670352</v>
      </c>
      <c r="I125">
        <v>2.3428042452455049</v>
      </c>
      <c r="J125">
        <v>1.1657413962347329</v>
      </c>
      <c r="K125">
        <v>1.4973437095194338E-2</v>
      </c>
      <c r="L125">
        <v>96.452614660032964</v>
      </c>
      <c r="M125">
        <v>388417.05</v>
      </c>
      <c r="N125">
        <v>10560972.789999999</v>
      </c>
      <c r="O125">
        <v>10949389.84</v>
      </c>
      <c r="P125">
        <v>451959.83203125</v>
      </c>
    </row>
    <row r="126" spans="1:16" x14ac:dyDescent="0.25">
      <c r="A126" s="28">
        <v>42128.197951388887</v>
      </c>
      <c r="B126">
        <v>1</v>
      </c>
      <c r="C126">
        <v>48</v>
      </c>
      <c r="D126">
        <v>24</v>
      </c>
      <c r="E126">
        <v>2</v>
      </c>
      <c r="F126">
        <v>3.51953125</v>
      </c>
      <c r="G126">
        <v>3.51953125</v>
      </c>
      <c r="H126">
        <v>6.1494758909751921</v>
      </c>
      <c r="I126">
        <v>4.2865848797313406</v>
      </c>
      <c r="J126">
        <v>1.7339333336635145</v>
      </c>
      <c r="K126">
        <v>7.4340910129043029E-3</v>
      </c>
      <c r="L126">
        <v>93.850524109024803</v>
      </c>
      <c r="M126">
        <v>674332.98</v>
      </c>
      <c r="N126">
        <v>10291365.43</v>
      </c>
      <c r="O126">
        <v>10965698.41</v>
      </c>
      <c r="P126">
        <v>516599.796875</v>
      </c>
    </row>
    <row r="127" spans="1:16" x14ac:dyDescent="0.25">
      <c r="A127" s="28">
        <v>42128.197951388887</v>
      </c>
      <c r="B127">
        <v>2</v>
      </c>
      <c r="C127">
        <v>48</v>
      </c>
      <c r="D127">
        <v>24</v>
      </c>
      <c r="E127">
        <v>2</v>
      </c>
      <c r="F127">
        <v>3.01953125</v>
      </c>
      <c r="G127">
        <v>3.01953125</v>
      </c>
      <c r="H127">
        <v>8.284124728969422</v>
      </c>
      <c r="I127">
        <v>6.527274003690553</v>
      </c>
      <c r="J127">
        <v>1.663320680577383</v>
      </c>
      <c r="K127">
        <v>7.3987220316652875E-3</v>
      </c>
      <c r="L127">
        <v>91.715875271030583</v>
      </c>
      <c r="M127">
        <v>909138.19</v>
      </c>
      <c r="N127">
        <v>10065324.65</v>
      </c>
      <c r="O127">
        <v>10974462.84</v>
      </c>
      <c r="P127">
        <v>516599.796875</v>
      </c>
    </row>
    <row r="128" spans="1:16" x14ac:dyDescent="0.25">
      <c r="A128" s="28">
        <v>42128.197951388887</v>
      </c>
      <c r="B128">
        <v>3</v>
      </c>
      <c r="C128">
        <v>48</v>
      </c>
      <c r="D128">
        <v>24</v>
      </c>
      <c r="E128">
        <v>2</v>
      </c>
      <c r="F128">
        <v>2.419921875</v>
      </c>
      <c r="G128">
        <v>2.419921875</v>
      </c>
      <c r="H128">
        <v>8.5836553353974221</v>
      </c>
      <c r="I128">
        <v>6.9498235744427195</v>
      </c>
      <c r="J128">
        <v>1.523694942377736</v>
      </c>
      <c r="K128">
        <v>1.2643915663784705E-2</v>
      </c>
      <c r="L128">
        <v>91.416344664602576</v>
      </c>
      <c r="M128">
        <v>941160.23</v>
      </c>
      <c r="N128">
        <v>10023401.99</v>
      </c>
      <c r="O128">
        <v>10964562.220000001</v>
      </c>
      <c r="P128">
        <v>516599.796875</v>
      </c>
    </row>
    <row r="129" spans="1:16" x14ac:dyDescent="0.25">
      <c r="A129" s="28">
        <v>42128.197951388887</v>
      </c>
      <c r="B129">
        <v>4</v>
      </c>
      <c r="C129">
        <v>48</v>
      </c>
      <c r="D129">
        <v>24</v>
      </c>
      <c r="E129">
        <v>2</v>
      </c>
      <c r="F129">
        <v>2.5390625</v>
      </c>
      <c r="G129">
        <v>2.5390625</v>
      </c>
      <c r="H129">
        <v>3.5623798953180441</v>
      </c>
      <c r="I129">
        <v>2.3574253255315982</v>
      </c>
      <c r="J129">
        <v>1.1659799120282528</v>
      </c>
      <c r="K129">
        <v>1.4967719773857323E-2</v>
      </c>
      <c r="L129">
        <v>96.437620104681955</v>
      </c>
      <c r="M129">
        <v>391588.28</v>
      </c>
      <c r="N129">
        <v>10600734.029999999</v>
      </c>
      <c r="O129">
        <v>10992322.310000001</v>
      </c>
      <c r="P129">
        <v>451959.83203125</v>
      </c>
    </row>
    <row r="130" spans="1:16" x14ac:dyDescent="0.25">
      <c r="A130" s="28">
        <v>42128.208368055559</v>
      </c>
      <c r="B130">
        <v>1</v>
      </c>
      <c r="C130">
        <v>48</v>
      </c>
      <c r="D130">
        <v>24</v>
      </c>
      <c r="E130">
        <v>2</v>
      </c>
      <c r="F130">
        <v>3.5595703125</v>
      </c>
      <c r="G130">
        <v>3.5595703125</v>
      </c>
      <c r="H130">
        <v>6.1831295702373028</v>
      </c>
      <c r="I130">
        <v>4.313144792003488</v>
      </c>
      <c r="J130">
        <v>1.739762439068991</v>
      </c>
      <c r="K130">
        <v>7.4321534954308582E-3</v>
      </c>
      <c r="L130">
        <v>93.816870429762702</v>
      </c>
      <c r="M130">
        <v>680654.33</v>
      </c>
      <c r="N130">
        <v>10327595.17</v>
      </c>
      <c r="O130">
        <v>11008249.5</v>
      </c>
      <c r="P130">
        <v>516599.796875</v>
      </c>
    </row>
    <row r="131" spans="1:16" x14ac:dyDescent="0.25">
      <c r="A131" s="28">
        <v>42128.208368055559</v>
      </c>
      <c r="B131">
        <v>2</v>
      </c>
      <c r="C131">
        <v>48</v>
      </c>
      <c r="D131">
        <v>24</v>
      </c>
      <c r="E131">
        <v>2</v>
      </c>
      <c r="F131">
        <v>2.5791015625</v>
      </c>
      <c r="G131">
        <v>2.5791015625</v>
      </c>
      <c r="H131">
        <v>8.2755283404337163</v>
      </c>
      <c r="I131">
        <v>6.5196322338809312</v>
      </c>
      <c r="J131">
        <v>1.6624801580388975</v>
      </c>
      <c r="K131">
        <v>7.4003219152740368E-3</v>
      </c>
      <c r="L131">
        <v>91.724471659566277</v>
      </c>
      <c r="M131">
        <v>911744.63</v>
      </c>
      <c r="N131">
        <v>10105613.93</v>
      </c>
      <c r="O131">
        <v>11017358.560000001</v>
      </c>
      <c r="P131">
        <v>516599.796875</v>
      </c>
    </row>
    <row r="132" spans="1:16" x14ac:dyDescent="0.25">
      <c r="A132" s="28">
        <v>42128.208368055559</v>
      </c>
      <c r="B132">
        <v>3</v>
      </c>
      <c r="C132">
        <v>48</v>
      </c>
      <c r="D132">
        <v>24</v>
      </c>
      <c r="E132">
        <v>2</v>
      </c>
      <c r="F132">
        <v>3.3193359375</v>
      </c>
      <c r="G132">
        <v>3.3193359375</v>
      </c>
      <c r="H132">
        <v>8.5763703339497539</v>
      </c>
      <c r="I132">
        <v>6.9427545099347627</v>
      </c>
      <c r="J132">
        <v>1.5235541596212565</v>
      </c>
      <c r="K132">
        <v>1.2645833090750761E-2</v>
      </c>
      <c r="L132">
        <v>91.423629666050246</v>
      </c>
      <c r="M132">
        <v>944037.13</v>
      </c>
      <c r="N132">
        <v>10063383.18</v>
      </c>
      <c r="O132">
        <v>11007420.310000001</v>
      </c>
      <c r="P132">
        <v>516599.796875</v>
      </c>
    </row>
    <row r="133" spans="1:16" x14ac:dyDescent="0.25">
      <c r="A133" s="28">
        <v>42128.208368055559</v>
      </c>
      <c r="B133">
        <v>4</v>
      </c>
      <c r="C133">
        <v>48</v>
      </c>
      <c r="D133">
        <v>24</v>
      </c>
      <c r="E133">
        <v>2</v>
      </c>
      <c r="F133">
        <v>1.8193359375</v>
      </c>
      <c r="G133">
        <v>1.8193359375</v>
      </c>
      <c r="H133">
        <v>3.5635074650868073</v>
      </c>
      <c r="I133">
        <v>2.3588141607569915</v>
      </c>
      <c r="J133">
        <v>1.1657170305322913</v>
      </c>
      <c r="K133">
        <v>1.4955582127690875E-2</v>
      </c>
      <c r="L133">
        <v>96.436492534913199</v>
      </c>
      <c r="M133">
        <v>393242.94</v>
      </c>
      <c r="N133">
        <v>10642034.630000001</v>
      </c>
      <c r="O133">
        <v>11035277.57</v>
      </c>
      <c r="P133">
        <v>451959.83203125</v>
      </c>
    </row>
    <row r="134" spans="1:16" x14ac:dyDescent="0.25">
      <c r="A134" s="28">
        <v>42128.2187962963</v>
      </c>
      <c r="B134">
        <v>1</v>
      </c>
      <c r="C134">
        <v>48</v>
      </c>
      <c r="D134">
        <v>24</v>
      </c>
      <c r="E134">
        <v>2</v>
      </c>
      <c r="F134">
        <v>2.349609375</v>
      </c>
      <c r="G134">
        <v>2.349609375</v>
      </c>
      <c r="H134">
        <v>6.2071225464091233</v>
      </c>
      <c r="I134">
        <v>4.3336385275270919</v>
      </c>
      <c r="J134">
        <v>1.7424797646482104</v>
      </c>
      <c r="K134">
        <v>7.4347067248808577E-3</v>
      </c>
      <c r="L134">
        <v>93.792877453590876</v>
      </c>
      <c r="M134">
        <v>685949.58</v>
      </c>
      <c r="N134">
        <v>10365057.949999999</v>
      </c>
      <c r="O134">
        <v>11051007.529999999</v>
      </c>
      <c r="P134">
        <v>516599.796875</v>
      </c>
    </row>
    <row r="135" spans="1:16" x14ac:dyDescent="0.25">
      <c r="A135" s="28">
        <v>42128.2187962963</v>
      </c>
      <c r="B135">
        <v>2</v>
      </c>
      <c r="C135">
        <v>48</v>
      </c>
      <c r="D135">
        <v>24</v>
      </c>
      <c r="E135">
        <v>2</v>
      </c>
      <c r="F135">
        <v>2.0595703125</v>
      </c>
      <c r="G135">
        <v>2.0595703125</v>
      </c>
      <c r="H135">
        <v>8.2639570972904099</v>
      </c>
      <c r="I135">
        <v>6.5092294650746876</v>
      </c>
      <c r="J135">
        <v>1.6614340901044495</v>
      </c>
      <c r="K135">
        <v>7.3921396688819791E-3</v>
      </c>
      <c r="L135">
        <v>91.736042902709585</v>
      </c>
      <c r="M135">
        <v>914015.29</v>
      </c>
      <c r="N135">
        <v>10146246.51</v>
      </c>
      <c r="O135">
        <v>11060261.800000001</v>
      </c>
      <c r="P135">
        <v>516599.796875</v>
      </c>
    </row>
    <row r="136" spans="1:16" x14ac:dyDescent="0.25">
      <c r="A136" s="28">
        <v>42128.2187962963</v>
      </c>
      <c r="B136">
        <v>3</v>
      </c>
      <c r="C136">
        <v>48</v>
      </c>
      <c r="D136">
        <v>24</v>
      </c>
      <c r="E136">
        <v>2</v>
      </c>
      <c r="F136">
        <v>2.349609375</v>
      </c>
      <c r="G136">
        <v>2.349609375</v>
      </c>
      <c r="H136">
        <v>8.5619652634951429</v>
      </c>
      <c r="I136">
        <v>6.9292278987668157</v>
      </c>
      <c r="J136">
        <v>1.5228359829122284</v>
      </c>
      <c r="K136">
        <v>1.2652951724530018E-2</v>
      </c>
      <c r="L136">
        <v>91.438034736504861</v>
      </c>
      <c r="M136">
        <v>946123.44</v>
      </c>
      <c r="N136">
        <v>10104183.48</v>
      </c>
      <c r="O136">
        <v>11050306.92</v>
      </c>
      <c r="P136">
        <v>516599.796875</v>
      </c>
    </row>
    <row r="137" spans="1:16" x14ac:dyDescent="0.25">
      <c r="A137" s="28">
        <v>42128.2187962963</v>
      </c>
      <c r="B137">
        <v>4</v>
      </c>
      <c r="C137">
        <v>48</v>
      </c>
      <c r="D137">
        <v>24</v>
      </c>
      <c r="E137">
        <v>2</v>
      </c>
      <c r="F137">
        <v>2.58984375</v>
      </c>
      <c r="G137">
        <v>2.58984375</v>
      </c>
      <c r="H137">
        <v>3.5633036731757333</v>
      </c>
      <c r="I137">
        <v>2.3586879926874218</v>
      </c>
      <c r="J137">
        <v>1.165654377596014</v>
      </c>
      <c r="K137">
        <v>1.494288543959397E-2</v>
      </c>
      <c r="L137">
        <v>96.436696326824261</v>
      </c>
      <c r="M137">
        <v>394751.64</v>
      </c>
      <c r="N137">
        <v>10683496.98</v>
      </c>
      <c r="O137">
        <v>11078248.619999999</v>
      </c>
      <c r="P137">
        <v>451959.83203125</v>
      </c>
    </row>
    <row r="138" spans="1:16" x14ac:dyDescent="0.25">
      <c r="A138" s="28">
        <v>42128.229224537034</v>
      </c>
      <c r="B138">
        <v>1</v>
      </c>
      <c r="C138">
        <v>48</v>
      </c>
      <c r="D138">
        <v>24</v>
      </c>
      <c r="E138">
        <v>2</v>
      </c>
      <c r="F138">
        <v>2.3896484375</v>
      </c>
      <c r="G138">
        <v>2.3896484375</v>
      </c>
      <c r="H138">
        <v>6.1952915059585028</v>
      </c>
      <c r="I138">
        <v>4.3246024561469598</v>
      </c>
      <c r="J138">
        <v>1.7400825538812528</v>
      </c>
      <c r="K138">
        <v>7.4245664481534654E-3</v>
      </c>
      <c r="L138">
        <v>93.804708494041492</v>
      </c>
      <c r="M138">
        <v>687304.47</v>
      </c>
      <c r="N138">
        <v>10406676.65</v>
      </c>
      <c r="O138">
        <v>11093981.119999999</v>
      </c>
      <c r="P138">
        <v>516599.796875</v>
      </c>
    </row>
    <row r="139" spans="1:16" x14ac:dyDescent="0.25">
      <c r="A139" s="28">
        <v>42128.229224537034</v>
      </c>
      <c r="B139">
        <v>2</v>
      </c>
      <c r="C139">
        <v>48</v>
      </c>
      <c r="D139">
        <v>24</v>
      </c>
      <c r="E139">
        <v>2</v>
      </c>
      <c r="F139">
        <v>2.029296875</v>
      </c>
      <c r="G139">
        <v>2.029296875</v>
      </c>
      <c r="H139">
        <v>8.2432645578674819</v>
      </c>
      <c r="I139">
        <v>6.491198728432976</v>
      </c>
      <c r="J139">
        <v>1.6590737276347882</v>
      </c>
      <c r="K139">
        <v>7.384306918490356E-3</v>
      </c>
      <c r="L139">
        <v>91.756735442132523</v>
      </c>
      <c r="M139">
        <v>915272.44</v>
      </c>
      <c r="N139">
        <v>10188003.859999999</v>
      </c>
      <c r="O139">
        <v>11103276.300000001</v>
      </c>
      <c r="P139">
        <v>516599.796875</v>
      </c>
    </row>
    <row r="140" spans="1:16" x14ac:dyDescent="0.25">
      <c r="A140" s="28">
        <v>42128.229224537034</v>
      </c>
      <c r="B140">
        <v>3</v>
      </c>
      <c r="C140">
        <v>48</v>
      </c>
      <c r="D140">
        <v>24</v>
      </c>
      <c r="E140">
        <v>2</v>
      </c>
      <c r="F140">
        <v>1.9296875</v>
      </c>
      <c r="G140">
        <v>1.9296875</v>
      </c>
      <c r="H140">
        <v>8.5472033448917895</v>
      </c>
      <c r="I140">
        <v>6.9162045737182503</v>
      </c>
      <c r="J140">
        <v>1.5213745569434529</v>
      </c>
      <c r="K140">
        <v>1.2650674418633937E-2</v>
      </c>
      <c r="L140">
        <v>91.452796655108216</v>
      </c>
      <c r="M140">
        <v>948162</v>
      </c>
      <c r="N140">
        <v>10145080.57</v>
      </c>
      <c r="O140">
        <v>11093242.57</v>
      </c>
      <c r="P140">
        <v>516599.796875</v>
      </c>
    </row>
    <row r="141" spans="1:16" x14ac:dyDescent="0.25">
      <c r="A141" s="28">
        <v>42128.229224537034</v>
      </c>
      <c r="B141">
        <v>4</v>
      </c>
      <c r="C141">
        <v>48</v>
      </c>
      <c r="D141">
        <v>24</v>
      </c>
      <c r="E141">
        <v>2</v>
      </c>
      <c r="F141">
        <v>2.419921875</v>
      </c>
      <c r="G141">
        <v>2.419921875</v>
      </c>
      <c r="H141">
        <v>3.5636059409855849</v>
      </c>
      <c r="I141">
        <v>2.3596463101916223</v>
      </c>
      <c r="J141">
        <v>1.1650589994796543</v>
      </c>
      <c r="K141">
        <v>1.4941563586087118E-2</v>
      </c>
      <c r="L141">
        <v>96.436394059014418</v>
      </c>
      <c r="M141">
        <v>396317.85</v>
      </c>
      <c r="N141">
        <v>10724941.25</v>
      </c>
      <c r="O141">
        <v>11121259.1</v>
      </c>
      <c r="P141">
        <v>451959.83203125</v>
      </c>
    </row>
    <row r="142" spans="1:16" x14ac:dyDescent="0.25">
      <c r="A142" s="28">
        <v>42128.239641203705</v>
      </c>
      <c r="B142">
        <v>1</v>
      </c>
      <c r="C142">
        <v>48</v>
      </c>
      <c r="D142">
        <v>24</v>
      </c>
      <c r="E142">
        <v>2</v>
      </c>
      <c r="F142">
        <v>2.25</v>
      </c>
      <c r="G142">
        <v>2.25</v>
      </c>
      <c r="H142">
        <v>6.1840043326806535</v>
      </c>
      <c r="I142">
        <v>4.3162249027291111</v>
      </c>
      <c r="J142">
        <v>1.7375870493921786</v>
      </c>
      <c r="K142">
        <v>7.4262652542077647E-3</v>
      </c>
      <c r="L142">
        <v>93.815995667319342</v>
      </c>
      <c r="M142">
        <v>688709.93</v>
      </c>
      <c r="N142">
        <v>10448247.5</v>
      </c>
      <c r="O142">
        <v>11136957.43</v>
      </c>
      <c r="P142">
        <v>516599.796875</v>
      </c>
    </row>
    <row r="143" spans="1:16" x14ac:dyDescent="0.25">
      <c r="A143" s="28">
        <v>42128.239641203705</v>
      </c>
      <c r="B143">
        <v>2</v>
      </c>
      <c r="C143">
        <v>48</v>
      </c>
      <c r="D143">
        <v>24</v>
      </c>
      <c r="E143">
        <v>2</v>
      </c>
      <c r="F143">
        <v>1.5791015625</v>
      </c>
      <c r="G143">
        <v>1.5791015625</v>
      </c>
      <c r="H143">
        <v>8.2231406907960043</v>
      </c>
      <c r="I143">
        <v>6.4736902963824603</v>
      </c>
      <c r="J143">
        <v>1.6567490825680937</v>
      </c>
      <c r="K143">
        <v>7.3783273660490596E-3</v>
      </c>
      <c r="L143">
        <v>91.776859309203999</v>
      </c>
      <c r="M143">
        <v>916575.37</v>
      </c>
      <c r="N143">
        <v>10229717.810000001</v>
      </c>
      <c r="O143">
        <v>11146293.18</v>
      </c>
      <c r="P143">
        <v>516599.796875</v>
      </c>
    </row>
    <row r="144" spans="1:16" x14ac:dyDescent="0.25">
      <c r="A144" s="28">
        <v>42128.239641203705</v>
      </c>
      <c r="B144">
        <v>3</v>
      </c>
      <c r="C144">
        <v>48</v>
      </c>
      <c r="D144">
        <v>24</v>
      </c>
      <c r="E144">
        <v>2</v>
      </c>
      <c r="F144">
        <v>2.279296875</v>
      </c>
      <c r="G144">
        <v>2.279296875</v>
      </c>
      <c r="H144">
        <v>8.5283123178415554</v>
      </c>
      <c r="I144">
        <v>6.8992977852425614</v>
      </c>
      <c r="J144">
        <v>1.5197080508991689</v>
      </c>
      <c r="K144">
        <v>1.2648208694177312E-2</v>
      </c>
      <c r="L144">
        <v>91.471687682158446</v>
      </c>
      <c r="M144">
        <v>949730.04</v>
      </c>
      <c r="N144">
        <v>10186471.41</v>
      </c>
      <c r="O144">
        <v>11136201.449999999</v>
      </c>
      <c r="P144">
        <v>516599.796875</v>
      </c>
    </row>
    <row r="145" spans="1:16" x14ac:dyDescent="0.25">
      <c r="A145" s="28">
        <v>42128.239641203705</v>
      </c>
      <c r="B145">
        <v>4</v>
      </c>
      <c r="C145">
        <v>48</v>
      </c>
      <c r="D145">
        <v>24</v>
      </c>
      <c r="E145">
        <v>2</v>
      </c>
      <c r="F145">
        <v>1.529296875</v>
      </c>
      <c r="G145">
        <v>1.529296875</v>
      </c>
      <c r="H145">
        <v>3.5595853303542913</v>
      </c>
      <c r="I145">
        <v>2.3564712721912016</v>
      </c>
      <c r="J145">
        <v>1.1642812570126317</v>
      </c>
      <c r="K145">
        <v>1.4929856826496838E-2</v>
      </c>
      <c r="L145">
        <v>96.440414669645705</v>
      </c>
      <c r="M145">
        <v>397401.83</v>
      </c>
      <c r="N145">
        <v>10766871.34</v>
      </c>
      <c r="O145">
        <v>11164273.17</v>
      </c>
      <c r="P145">
        <v>451959.83203125</v>
      </c>
    </row>
    <row r="146" spans="1:16" x14ac:dyDescent="0.25">
      <c r="A146" s="28">
        <v>42128.250069444446</v>
      </c>
      <c r="B146">
        <v>1</v>
      </c>
      <c r="C146">
        <v>48</v>
      </c>
      <c r="D146">
        <v>24</v>
      </c>
      <c r="E146">
        <v>2</v>
      </c>
      <c r="F146">
        <v>2.119140625</v>
      </c>
      <c r="G146">
        <v>2.119140625</v>
      </c>
      <c r="H146">
        <v>6.1726396936650705</v>
      </c>
      <c r="I146">
        <v>4.3077319554049716</v>
      </c>
      <c r="J146">
        <v>1.7351178715713749</v>
      </c>
      <c r="K146">
        <v>7.436901283952151E-3</v>
      </c>
      <c r="L146">
        <v>93.827360306334924</v>
      </c>
      <c r="M146">
        <v>690096.5</v>
      </c>
      <c r="N146">
        <v>10489828.689999999</v>
      </c>
      <c r="O146">
        <v>11179925.189999999</v>
      </c>
      <c r="P146">
        <v>516599.796875</v>
      </c>
    </row>
    <row r="147" spans="1:16" x14ac:dyDescent="0.25">
      <c r="A147" s="28">
        <v>42128.250069444446</v>
      </c>
      <c r="B147">
        <v>2</v>
      </c>
      <c r="C147">
        <v>48</v>
      </c>
      <c r="D147">
        <v>24</v>
      </c>
      <c r="E147">
        <v>2</v>
      </c>
      <c r="F147">
        <v>2.109375</v>
      </c>
      <c r="G147">
        <v>2.109375</v>
      </c>
      <c r="H147">
        <v>8.2026777763074854</v>
      </c>
      <c r="I147">
        <v>6.4558070413600728</v>
      </c>
      <c r="J147">
        <v>1.6544631688065041</v>
      </c>
      <c r="K147">
        <v>7.3805259059095745E-3</v>
      </c>
      <c r="L147">
        <v>91.797322223692518</v>
      </c>
      <c r="M147">
        <v>917823.13</v>
      </c>
      <c r="N147">
        <v>10271487.91</v>
      </c>
      <c r="O147">
        <v>11189311.039999999</v>
      </c>
      <c r="P147">
        <v>516599.796875</v>
      </c>
    </row>
    <row r="148" spans="1:16" x14ac:dyDescent="0.25">
      <c r="A148" s="28">
        <v>42128.250069444446</v>
      </c>
      <c r="B148">
        <v>3</v>
      </c>
      <c r="C148">
        <v>48</v>
      </c>
      <c r="D148">
        <v>24</v>
      </c>
      <c r="E148">
        <v>2</v>
      </c>
      <c r="F148">
        <v>2.44921875</v>
      </c>
      <c r="G148">
        <v>2.44921875</v>
      </c>
      <c r="H148">
        <v>8.5094695795417916</v>
      </c>
      <c r="I148">
        <v>6.8821613612457746</v>
      </c>
      <c r="J148">
        <v>1.5183193325127957</v>
      </c>
      <c r="K148">
        <v>1.2677330502558419E-2</v>
      </c>
      <c r="L148">
        <v>91.490530420458214</v>
      </c>
      <c r="M148">
        <v>951287.85</v>
      </c>
      <c r="N148">
        <v>10227879.560000001</v>
      </c>
      <c r="O148">
        <v>11179167.41</v>
      </c>
      <c r="P148">
        <v>516599.796875</v>
      </c>
    </row>
    <row r="149" spans="1:16" x14ac:dyDescent="0.25">
      <c r="A149" s="28">
        <v>42128.250069444446</v>
      </c>
      <c r="B149">
        <v>4</v>
      </c>
      <c r="C149">
        <v>48</v>
      </c>
      <c r="D149">
        <v>24</v>
      </c>
      <c r="E149">
        <v>2</v>
      </c>
      <c r="F149">
        <v>1.7890625</v>
      </c>
      <c r="G149">
        <v>1.7890625</v>
      </c>
      <c r="H149">
        <v>3.5548323747147066</v>
      </c>
      <c r="I149">
        <v>2.3526393384504201</v>
      </c>
      <c r="J149">
        <v>1.1634439058383952</v>
      </c>
      <c r="K149">
        <v>1.4925990189680586E-2</v>
      </c>
      <c r="L149">
        <v>96.445167625285293</v>
      </c>
      <c r="M149">
        <v>398400.61</v>
      </c>
      <c r="N149">
        <v>10808896.050000001</v>
      </c>
      <c r="O149">
        <v>11207296.66</v>
      </c>
      <c r="P149">
        <v>451959.83203125</v>
      </c>
    </row>
    <row r="150" spans="1:16" x14ac:dyDescent="0.25">
      <c r="A150" s="28">
        <v>42128.26048611111</v>
      </c>
      <c r="B150">
        <v>1</v>
      </c>
      <c r="C150">
        <v>48</v>
      </c>
      <c r="D150">
        <v>24</v>
      </c>
      <c r="E150">
        <v>2</v>
      </c>
      <c r="F150">
        <v>2.5390625</v>
      </c>
      <c r="G150">
        <v>2.5390625</v>
      </c>
      <c r="H150">
        <v>6.1617106740499885</v>
      </c>
      <c r="I150">
        <v>4.2996642245764267</v>
      </c>
      <c r="J150">
        <v>1.7326580764902242</v>
      </c>
      <c r="K150">
        <v>7.4325748512546769E-3</v>
      </c>
      <c r="L150">
        <v>93.838289325950015</v>
      </c>
      <c r="M150">
        <v>691522.26</v>
      </c>
      <c r="N150">
        <v>10531371.779999999</v>
      </c>
      <c r="O150">
        <v>11222894.039999999</v>
      </c>
      <c r="P150">
        <v>516599.796875</v>
      </c>
    </row>
    <row r="151" spans="1:16" x14ac:dyDescent="0.25">
      <c r="A151" s="28">
        <v>42128.26048611111</v>
      </c>
      <c r="B151">
        <v>2</v>
      </c>
      <c r="C151">
        <v>48</v>
      </c>
      <c r="D151">
        <v>24</v>
      </c>
      <c r="E151">
        <v>2</v>
      </c>
      <c r="F151">
        <v>2.1796875</v>
      </c>
      <c r="G151">
        <v>2.1796875</v>
      </c>
      <c r="H151">
        <v>8.1821251845852423</v>
      </c>
      <c r="I151">
        <v>6.4377452132236792</v>
      </c>
      <c r="J151">
        <v>1.6522614568919678</v>
      </c>
      <c r="K151">
        <v>7.3754104737144425E-3</v>
      </c>
      <c r="L151">
        <v>91.817874815414754</v>
      </c>
      <c r="M151">
        <v>919042.81</v>
      </c>
      <c r="N151">
        <v>10313281.18</v>
      </c>
      <c r="O151">
        <v>11232323.99</v>
      </c>
      <c r="P151">
        <v>516599.796875</v>
      </c>
    </row>
    <row r="152" spans="1:16" x14ac:dyDescent="0.25">
      <c r="A152" s="28">
        <v>42128.26048611111</v>
      </c>
      <c r="B152">
        <v>3</v>
      </c>
      <c r="C152">
        <v>48</v>
      </c>
      <c r="D152">
        <v>24</v>
      </c>
      <c r="E152">
        <v>2</v>
      </c>
      <c r="F152">
        <v>2.369140625</v>
      </c>
      <c r="G152">
        <v>2.369140625</v>
      </c>
      <c r="H152">
        <v>8.490365854325665</v>
      </c>
      <c r="I152">
        <v>6.8649957740004899</v>
      </c>
      <c r="J152">
        <v>1.5166877985875034</v>
      </c>
      <c r="K152">
        <v>1.2685577316262631E-2</v>
      </c>
      <c r="L152">
        <v>91.50963414567434</v>
      </c>
      <c r="M152">
        <v>952798.57</v>
      </c>
      <c r="N152">
        <v>10269315.84</v>
      </c>
      <c r="O152">
        <v>11222114.41</v>
      </c>
      <c r="P152">
        <v>516599.796875</v>
      </c>
    </row>
    <row r="153" spans="1:16" x14ac:dyDescent="0.25">
      <c r="A153" s="28">
        <v>42128.26048611111</v>
      </c>
      <c r="B153">
        <v>4</v>
      </c>
      <c r="C153">
        <v>48</v>
      </c>
      <c r="D153">
        <v>24</v>
      </c>
      <c r="E153">
        <v>2</v>
      </c>
      <c r="F153">
        <v>2.2197265625</v>
      </c>
      <c r="G153">
        <v>2.2197265625</v>
      </c>
      <c r="H153">
        <v>3.5508468020975652</v>
      </c>
      <c r="I153">
        <v>2.349512737639349</v>
      </c>
      <c r="J153">
        <v>1.1626504432280458</v>
      </c>
      <c r="K153">
        <v>1.4929357154751665E-2</v>
      </c>
      <c r="L153">
        <v>96.449153197902433</v>
      </c>
      <c r="M153">
        <v>399481.52</v>
      </c>
      <c r="N153">
        <v>10850835.439999999</v>
      </c>
      <c r="O153">
        <v>11250316.960000001</v>
      </c>
      <c r="P153">
        <v>451959.83203125</v>
      </c>
    </row>
    <row r="154" spans="1:16" x14ac:dyDescent="0.25">
      <c r="A154" s="28">
        <v>42128.270914351851</v>
      </c>
      <c r="B154">
        <v>1</v>
      </c>
      <c r="C154">
        <v>48</v>
      </c>
      <c r="D154">
        <v>24</v>
      </c>
      <c r="E154">
        <v>2</v>
      </c>
      <c r="F154">
        <v>2.279296875</v>
      </c>
      <c r="G154">
        <v>2.279296875</v>
      </c>
      <c r="H154">
        <v>6.1499872101879891</v>
      </c>
      <c r="I154">
        <v>4.2907078499148961</v>
      </c>
      <c r="J154">
        <v>1.7302920221954163</v>
      </c>
      <c r="K154">
        <v>7.4364357367492483E-3</v>
      </c>
      <c r="L154">
        <v>93.850012789812013</v>
      </c>
      <c r="M154">
        <v>692850.24</v>
      </c>
      <c r="N154">
        <v>10573030.75</v>
      </c>
      <c r="O154">
        <v>11265880.99</v>
      </c>
      <c r="P154">
        <v>516599.796875</v>
      </c>
    </row>
    <row r="155" spans="1:16" x14ac:dyDescent="0.25">
      <c r="A155" s="28">
        <v>42128.270914351851</v>
      </c>
      <c r="B155">
        <v>2</v>
      </c>
      <c r="C155">
        <v>48</v>
      </c>
      <c r="D155">
        <v>24</v>
      </c>
      <c r="E155">
        <v>2</v>
      </c>
      <c r="F155">
        <v>1.9892578125</v>
      </c>
      <c r="G155">
        <v>1.9892578125</v>
      </c>
      <c r="H155">
        <v>8.1624094453722442</v>
      </c>
      <c r="I155">
        <v>6.4205007355985462</v>
      </c>
      <c r="J155">
        <v>1.6500708725746605</v>
      </c>
      <c r="K155">
        <v>7.3666059833618789E-3</v>
      </c>
      <c r="L155">
        <v>91.837590554627752</v>
      </c>
      <c r="M155">
        <v>920339.56</v>
      </c>
      <c r="N155">
        <v>10355002.189999999</v>
      </c>
      <c r="O155">
        <v>11275341.75</v>
      </c>
      <c r="P155">
        <v>516599.796875</v>
      </c>
    </row>
    <row r="156" spans="1:16" x14ac:dyDescent="0.25">
      <c r="A156" s="28">
        <v>42128.270914351851</v>
      </c>
      <c r="B156">
        <v>3</v>
      </c>
      <c r="C156">
        <v>48</v>
      </c>
      <c r="D156">
        <v>24</v>
      </c>
      <c r="E156">
        <v>2</v>
      </c>
      <c r="F156">
        <v>2.4296875</v>
      </c>
      <c r="G156">
        <v>2.4296875</v>
      </c>
      <c r="H156">
        <v>8.4714234544394049</v>
      </c>
      <c r="I156">
        <v>6.847845539820467</v>
      </c>
      <c r="J156">
        <v>1.5151965147698467</v>
      </c>
      <c r="K156">
        <v>1.269809148097821E-2</v>
      </c>
      <c r="L156">
        <v>91.528576545560597</v>
      </c>
      <c r="M156">
        <v>954312.52</v>
      </c>
      <c r="N156">
        <v>10310766.189999999</v>
      </c>
      <c r="O156">
        <v>11265078.710000001</v>
      </c>
      <c r="P156">
        <v>516599.796875</v>
      </c>
    </row>
    <row r="157" spans="1:16" x14ac:dyDescent="0.25">
      <c r="A157" s="28">
        <v>42128.270914351851</v>
      </c>
      <c r="B157">
        <v>4</v>
      </c>
      <c r="C157">
        <v>48</v>
      </c>
      <c r="D157">
        <v>24</v>
      </c>
      <c r="E157">
        <v>2</v>
      </c>
      <c r="F157">
        <v>1.6396484375</v>
      </c>
      <c r="G157">
        <v>1.6396484375</v>
      </c>
      <c r="H157">
        <v>3.5477995883308848</v>
      </c>
      <c r="I157">
        <v>2.3471531830533996</v>
      </c>
      <c r="J157">
        <v>1.162011787776319</v>
      </c>
      <c r="K157">
        <v>1.4935204004205159E-2</v>
      </c>
      <c r="L157">
        <v>96.452200411669111</v>
      </c>
      <c r="M157">
        <v>400664.27</v>
      </c>
      <c r="N157">
        <v>10892653.18</v>
      </c>
      <c r="O157">
        <v>11293317.449999999</v>
      </c>
      <c r="P157">
        <v>451959.83203125</v>
      </c>
    </row>
    <row r="158" spans="1:16" x14ac:dyDescent="0.25">
      <c r="A158" s="28">
        <v>42128.281342592592</v>
      </c>
      <c r="B158">
        <v>1</v>
      </c>
      <c r="C158">
        <v>48</v>
      </c>
      <c r="D158">
        <v>24</v>
      </c>
      <c r="E158">
        <v>2</v>
      </c>
      <c r="F158">
        <v>2.4296875</v>
      </c>
      <c r="G158">
        <v>2.4296875</v>
      </c>
      <c r="H158">
        <v>6.138956509124772</v>
      </c>
      <c r="I158">
        <v>4.2824644900685556</v>
      </c>
      <c r="J158">
        <v>1.7278960277535658</v>
      </c>
      <c r="K158">
        <v>7.4278098193548336E-3</v>
      </c>
      <c r="L158">
        <v>93.861043490875232</v>
      </c>
      <c r="M158">
        <v>694245.49</v>
      </c>
      <c r="N158">
        <v>10614606.25</v>
      </c>
      <c r="O158">
        <v>11308851.74</v>
      </c>
      <c r="P158">
        <v>516599.796875</v>
      </c>
    </row>
    <row r="159" spans="1:16" x14ac:dyDescent="0.25">
      <c r="A159" s="28">
        <v>42128.281342592592</v>
      </c>
      <c r="B159">
        <v>2</v>
      </c>
      <c r="C159">
        <v>48</v>
      </c>
      <c r="D159">
        <v>24</v>
      </c>
      <c r="E159">
        <v>2</v>
      </c>
      <c r="F159">
        <v>2.2197265625</v>
      </c>
      <c r="G159">
        <v>2.2197265625</v>
      </c>
      <c r="H159">
        <v>8.1430411088866936</v>
      </c>
      <c r="I159">
        <v>6.4036530746593856</v>
      </c>
      <c r="J159">
        <v>1.6478351806869529</v>
      </c>
      <c r="K159">
        <v>7.3615870941752277E-3</v>
      </c>
      <c r="L159">
        <v>91.856958891113308</v>
      </c>
      <c r="M159">
        <v>921657.68</v>
      </c>
      <c r="N159">
        <v>10396689.699999999</v>
      </c>
      <c r="O159">
        <v>11318347.380000001</v>
      </c>
      <c r="P159">
        <v>516599.796875</v>
      </c>
    </row>
    <row r="160" spans="1:16" x14ac:dyDescent="0.25">
      <c r="A160" s="28">
        <v>42128.281342592592</v>
      </c>
      <c r="B160">
        <v>3</v>
      </c>
      <c r="C160">
        <v>48</v>
      </c>
      <c r="D160">
        <v>24</v>
      </c>
      <c r="E160">
        <v>2</v>
      </c>
      <c r="F160">
        <v>2.6591796875</v>
      </c>
      <c r="G160">
        <v>2.6591796875</v>
      </c>
      <c r="H160">
        <v>8.4533768040507518</v>
      </c>
      <c r="I160">
        <v>6.8315759560805702</v>
      </c>
      <c r="J160">
        <v>1.5137064428222833</v>
      </c>
      <c r="K160">
        <v>1.2692128843599928E-2</v>
      </c>
      <c r="L160">
        <v>91.546623195949252</v>
      </c>
      <c r="M160">
        <v>955910.56</v>
      </c>
      <c r="N160">
        <v>10352121.51</v>
      </c>
      <c r="O160">
        <v>11308032.07</v>
      </c>
      <c r="P160">
        <v>516599.796875</v>
      </c>
    </row>
    <row r="161" spans="1:16" x14ac:dyDescent="0.25">
      <c r="A161" s="28">
        <v>42128.281342592592</v>
      </c>
      <c r="B161">
        <v>4</v>
      </c>
      <c r="C161">
        <v>48</v>
      </c>
      <c r="D161">
        <v>24</v>
      </c>
      <c r="E161">
        <v>2</v>
      </c>
      <c r="F161">
        <v>2.1796875</v>
      </c>
      <c r="G161">
        <v>2.1796875</v>
      </c>
      <c r="H161">
        <v>3.5448431332928214</v>
      </c>
      <c r="I161">
        <v>2.3449491325941634</v>
      </c>
      <c r="J161">
        <v>1.161321229981898</v>
      </c>
      <c r="K161">
        <v>1.4930922755663883E-2</v>
      </c>
      <c r="L161">
        <v>96.455156866707185</v>
      </c>
      <c r="M161">
        <v>401855.43</v>
      </c>
      <c r="N161">
        <v>10934483.439999999</v>
      </c>
      <c r="O161">
        <v>11336338.869999999</v>
      </c>
      <c r="P161">
        <v>451959.83203125</v>
      </c>
    </row>
    <row r="162" spans="1:16" x14ac:dyDescent="0.25">
      <c r="A162" s="28">
        <v>42128.291759259257</v>
      </c>
      <c r="B162">
        <v>1</v>
      </c>
      <c r="C162">
        <v>48</v>
      </c>
      <c r="D162">
        <v>24</v>
      </c>
      <c r="E162">
        <v>2</v>
      </c>
      <c r="F162">
        <v>4.0693359375</v>
      </c>
      <c r="G162">
        <v>4.0693359375</v>
      </c>
      <c r="H162">
        <v>6.1461895819253884</v>
      </c>
      <c r="I162">
        <v>4.2856323661401925</v>
      </c>
      <c r="J162">
        <v>1.7320459232537071</v>
      </c>
      <c r="K162">
        <v>7.4704938156035412E-3</v>
      </c>
      <c r="L162">
        <v>93.853810418074616</v>
      </c>
      <c r="M162">
        <v>697698.61</v>
      </c>
      <c r="N162">
        <v>10654027.539999999</v>
      </c>
      <c r="O162">
        <v>11351726.15</v>
      </c>
      <c r="P162">
        <v>516599.796875</v>
      </c>
    </row>
    <row r="163" spans="1:16" x14ac:dyDescent="0.25">
      <c r="A163" s="28">
        <v>42128.291759259257</v>
      </c>
      <c r="B163">
        <v>2</v>
      </c>
      <c r="C163">
        <v>48</v>
      </c>
      <c r="D163">
        <v>24</v>
      </c>
      <c r="E163">
        <v>2</v>
      </c>
      <c r="F163">
        <v>3.1796875</v>
      </c>
      <c r="G163">
        <v>3.1796875</v>
      </c>
      <c r="H163">
        <v>8.1343938900701662</v>
      </c>
      <c r="I163">
        <v>6.3920071314121554</v>
      </c>
      <c r="J163">
        <v>1.6509896035992475</v>
      </c>
      <c r="K163">
        <v>7.388175890566338E-3</v>
      </c>
      <c r="L163">
        <v>91.865606109929828</v>
      </c>
      <c r="M163">
        <v>924169.78</v>
      </c>
      <c r="N163">
        <v>10437091.949999999</v>
      </c>
      <c r="O163">
        <v>11361261.73</v>
      </c>
      <c r="P163">
        <v>516599.796875</v>
      </c>
    </row>
    <row r="164" spans="1:16" x14ac:dyDescent="0.25">
      <c r="A164" s="28">
        <v>42128.291759259257</v>
      </c>
      <c r="B164">
        <v>3</v>
      </c>
      <c r="C164">
        <v>48</v>
      </c>
      <c r="D164">
        <v>24</v>
      </c>
      <c r="E164">
        <v>2</v>
      </c>
      <c r="F164">
        <v>2.119140625</v>
      </c>
      <c r="G164">
        <v>2.119140625</v>
      </c>
      <c r="H164">
        <v>8.4387192300701592</v>
      </c>
      <c r="I164">
        <v>6.8177763868943622</v>
      </c>
      <c r="J164">
        <v>1.5130329318288656</v>
      </c>
      <c r="K164">
        <v>1.2686888419294728E-2</v>
      </c>
      <c r="L164">
        <v>91.561280769929837</v>
      </c>
      <c r="M164">
        <v>957873.23</v>
      </c>
      <c r="N164">
        <v>10393058.16</v>
      </c>
      <c r="O164">
        <v>11350931.390000001</v>
      </c>
      <c r="P164">
        <v>516599.796875</v>
      </c>
    </row>
    <row r="165" spans="1:16" x14ac:dyDescent="0.25">
      <c r="A165" s="28">
        <v>42128.291759259257</v>
      </c>
      <c r="B165">
        <v>4</v>
      </c>
      <c r="C165">
        <v>48</v>
      </c>
      <c r="D165">
        <v>24</v>
      </c>
      <c r="E165">
        <v>2</v>
      </c>
      <c r="F165">
        <v>3.009765625</v>
      </c>
      <c r="G165">
        <v>3.009765625</v>
      </c>
      <c r="H165">
        <v>3.5466319055525628</v>
      </c>
      <c r="I165">
        <v>2.3429735051127492</v>
      </c>
      <c r="J165">
        <v>1.1651430962301885</v>
      </c>
      <c r="K165">
        <v>1.4979540861417005E-2</v>
      </c>
      <c r="L165">
        <v>96.453368094447441</v>
      </c>
      <c r="M165">
        <v>403582.62</v>
      </c>
      <c r="N165">
        <v>10975738.119999999</v>
      </c>
      <c r="O165">
        <v>11379320.74</v>
      </c>
      <c r="P165">
        <v>451959.83203125</v>
      </c>
    </row>
    <row r="166" spans="1:16" x14ac:dyDescent="0.25">
      <c r="A166" s="28">
        <v>42128.302187499998</v>
      </c>
      <c r="B166">
        <v>1</v>
      </c>
      <c r="C166">
        <v>48</v>
      </c>
      <c r="D166">
        <v>24</v>
      </c>
      <c r="E166">
        <v>2</v>
      </c>
      <c r="F166">
        <v>4.369140625</v>
      </c>
      <c r="G166">
        <v>4.369140625</v>
      </c>
      <c r="H166">
        <v>6.1506042143277746</v>
      </c>
      <c r="I166">
        <v>4.2857390304178651</v>
      </c>
      <c r="J166">
        <v>1.736662870904528</v>
      </c>
      <c r="K166">
        <v>7.5459122131006466E-3</v>
      </c>
      <c r="L166">
        <v>93.849395785672229</v>
      </c>
      <c r="M166">
        <v>700839.59</v>
      </c>
      <c r="N166">
        <v>10693806.619999999</v>
      </c>
      <c r="O166">
        <v>11394646.210000001</v>
      </c>
      <c r="P166">
        <v>516599.796875</v>
      </c>
    </row>
    <row r="167" spans="1:16" x14ac:dyDescent="0.25">
      <c r="A167" s="28">
        <v>42128.302187499998</v>
      </c>
      <c r="B167">
        <v>2</v>
      </c>
      <c r="C167">
        <v>48</v>
      </c>
      <c r="D167">
        <v>24</v>
      </c>
      <c r="E167">
        <v>2</v>
      </c>
      <c r="F167">
        <v>2.9697265625</v>
      </c>
      <c r="G167">
        <v>2.9697265625</v>
      </c>
      <c r="H167">
        <v>8.122587053893179</v>
      </c>
      <c r="I167">
        <v>6.3764424867423175</v>
      </c>
      <c r="J167">
        <v>1.6550134384618231</v>
      </c>
      <c r="K167">
        <v>7.4180180891120513E-3</v>
      </c>
      <c r="L167">
        <v>91.877412946106816</v>
      </c>
      <c r="M167">
        <v>926320.87</v>
      </c>
      <c r="N167">
        <v>10477938.189999999</v>
      </c>
      <c r="O167">
        <v>11404259.060000001</v>
      </c>
      <c r="P167">
        <v>516599.796875</v>
      </c>
    </row>
    <row r="168" spans="1:16" x14ac:dyDescent="0.25">
      <c r="A168" s="28">
        <v>42128.302187499998</v>
      </c>
      <c r="B168">
        <v>3</v>
      </c>
      <c r="C168">
        <v>48</v>
      </c>
      <c r="D168">
        <v>24</v>
      </c>
      <c r="E168">
        <v>2</v>
      </c>
      <c r="F168">
        <v>2.349609375</v>
      </c>
      <c r="G168">
        <v>2.349609375</v>
      </c>
      <c r="H168">
        <v>8.4198395704641715</v>
      </c>
      <c r="I168">
        <v>6.800659292489085</v>
      </c>
      <c r="J168">
        <v>1.5115559288260938</v>
      </c>
      <c r="K168">
        <v>1.2681807293796716E-2</v>
      </c>
      <c r="L168">
        <v>91.580160429535823</v>
      </c>
      <c r="M168">
        <v>959346.48</v>
      </c>
      <c r="N168">
        <v>10434534.27</v>
      </c>
      <c r="O168">
        <v>11393880.75</v>
      </c>
      <c r="P168">
        <v>516599.796875</v>
      </c>
    </row>
    <row r="169" spans="1:16" x14ac:dyDescent="0.25">
      <c r="A169" s="28">
        <v>42128.302187499998</v>
      </c>
      <c r="B169">
        <v>4</v>
      </c>
      <c r="C169">
        <v>48</v>
      </c>
      <c r="D169">
        <v>24</v>
      </c>
      <c r="E169">
        <v>2</v>
      </c>
      <c r="F169">
        <v>3.359375</v>
      </c>
      <c r="G169">
        <v>3.359375</v>
      </c>
      <c r="H169">
        <v>3.5511017544436667</v>
      </c>
      <c r="I169">
        <v>2.3417437684485471</v>
      </c>
      <c r="J169">
        <v>1.1708930708408081</v>
      </c>
      <c r="K169">
        <v>1.5072526704217749E-2</v>
      </c>
      <c r="L169">
        <v>96.448898245556336</v>
      </c>
      <c r="M169">
        <v>405617.68</v>
      </c>
      <c r="N169">
        <v>11016687.51</v>
      </c>
      <c r="O169">
        <v>11422305.189999999</v>
      </c>
      <c r="P169">
        <v>451959.83203125</v>
      </c>
    </row>
    <row r="170" spans="1:16" x14ac:dyDescent="0.25">
      <c r="A170" s="28">
        <v>42128.312604166669</v>
      </c>
      <c r="B170">
        <v>1</v>
      </c>
      <c r="C170">
        <v>48</v>
      </c>
      <c r="D170">
        <v>24</v>
      </c>
      <c r="E170">
        <v>2</v>
      </c>
      <c r="F170">
        <v>3.7197265625</v>
      </c>
      <c r="G170">
        <v>3.7197265625</v>
      </c>
      <c r="H170">
        <v>6.1550726517351988</v>
      </c>
      <c r="I170">
        <v>4.2857274228863371</v>
      </c>
      <c r="J170">
        <v>1.7414034743264657</v>
      </c>
      <c r="K170">
        <v>7.6212084935829653E-3</v>
      </c>
      <c r="L170">
        <v>93.844927348264804</v>
      </c>
      <c r="M170">
        <v>703989.89</v>
      </c>
      <c r="N170">
        <v>10733566.25</v>
      </c>
      <c r="O170">
        <v>11437556.140000001</v>
      </c>
      <c r="P170">
        <v>516599.796875</v>
      </c>
    </row>
    <row r="171" spans="1:16" x14ac:dyDescent="0.25">
      <c r="A171" s="28">
        <v>42128.312604166669</v>
      </c>
      <c r="B171">
        <v>2</v>
      </c>
      <c r="C171">
        <v>48</v>
      </c>
      <c r="D171">
        <v>24</v>
      </c>
      <c r="E171">
        <v>2</v>
      </c>
      <c r="F171">
        <v>3.08984375</v>
      </c>
      <c r="G171">
        <v>3.08984375</v>
      </c>
      <c r="H171">
        <v>8.1117223193742714</v>
      </c>
      <c r="I171">
        <v>6.3616490592094612</v>
      </c>
      <c r="J171">
        <v>1.6591951975069243</v>
      </c>
      <c r="K171">
        <v>7.4453682791461653E-3</v>
      </c>
      <c r="L171">
        <v>91.888277680625734</v>
      </c>
      <c r="M171">
        <v>928569.22</v>
      </c>
      <c r="N171">
        <v>10518681.85</v>
      </c>
      <c r="O171">
        <v>11447251.07</v>
      </c>
      <c r="P171">
        <v>516599.796875</v>
      </c>
    </row>
    <row r="172" spans="1:16" x14ac:dyDescent="0.25">
      <c r="A172" s="28">
        <v>42128.312604166669</v>
      </c>
      <c r="B172">
        <v>3</v>
      </c>
      <c r="C172">
        <v>48</v>
      </c>
      <c r="D172">
        <v>24</v>
      </c>
      <c r="E172">
        <v>2</v>
      </c>
      <c r="F172">
        <v>2.279296875</v>
      </c>
      <c r="G172">
        <v>2.279296875</v>
      </c>
      <c r="H172">
        <v>8.4016014477776917</v>
      </c>
      <c r="I172">
        <v>6.7841764403646945</v>
      </c>
      <c r="J172">
        <v>1.510083369847284</v>
      </c>
      <c r="K172">
        <v>1.2677629121945958E-2</v>
      </c>
      <c r="L172">
        <v>91.598398552222307</v>
      </c>
      <c r="M172">
        <v>960877.61</v>
      </c>
      <c r="N172">
        <v>10475961.140000001</v>
      </c>
      <c r="O172">
        <v>11436838.75</v>
      </c>
      <c r="P172">
        <v>516599.796875</v>
      </c>
    </row>
    <row r="173" spans="1:16" x14ac:dyDescent="0.25">
      <c r="A173" s="28">
        <v>42128.312604166669</v>
      </c>
      <c r="B173">
        <v>4</v>
      </c>
      <c r="C173">
        <v>48</v>
      </c>
      <c r="D173">
        <v>24</v>
      </c>
      <c r="E173">
        <v>2</v>
      </c>
      <c r="F173">
        <v>2.619140625</v>
      </c>
      <c r="G173">
        <v>2.619140625</v>
      </c>
      <c r="H173">
        <v>3.5559862809072387</v>
      </c>
      <c r="I173">
        <v>2.3409795658891248</v>
      </c>
      <c r="J173">
        <v>1.176593678824859</v>
      </c>
      <c r="K173">
        <v>1.5182419441565754E-2</v>
      </c>
      <c r="L173">
        <v>96.444013719092766</v>
      </c>
      <c r="M173">
        <v>407704.51</v>
      </c>
      <c r="N173">
        <v>11057595.91</v>
      </c>
      <c r="O173">
        <v>11465300.42</v>
      </c>
      <c r="P173">
        <v>451959.83203125</v>
      </c>
    </row>
    <row r="174" spans="1:16" x14ac:dyDescent="0.25">
      <c r="A174" s="28">
        <v>42128.32303240741</v>
      </c>
      <c r="B174">
        <v>1</v>
      </c>
      <c r="C174">
        <v>48</v>
      </c>
      <c r="D174">
        <v>24</v>
      </c>
      <c r="E174">
        <v>2</v>
      </c>
      <c r="F174">
        <v>2.9697265625</v>
      </c>
      <c r="G174">
        <v>2.9697265625</v>
      </c>
      <c r="H174">
        <v>6.1587924128573697</v>
      </c>
      <c r="I174">
        <v>4.2855605601940727</v>
      </c>
      <c r="J174">
        <v>1.745611847262879</v>
      </c>
      <c r="K174">
        <v>7.6914898292023857E-3</v>
      </c>
      <c r="L174">
        <v>93.841207587142634</v>
      </c>
      <c r="M174">
        <v>707058.97</v>
      </c>
      <c r="N174">
        <v>10773421.66</v>
      </c>
      <c r="O174">
        <v>11480480.630000001</v>
      </c>
      <c r="P174">
        <v>516599.796875</v>
      </c>
    </row>
    <row r="175" spans="1:16" x14ac:dyDescent="0.25">
      <c r="A175" s="28">
        <v>42128.32303240741</v>
      </c>
      <c r="B175">
        <v>2</v>
      </c>
      <c r="C175">
        <v>48</v>
      </c>
      <c r="D175">
        <v>24</v>
      </c>
      <c r="E175">
        <v>2</v>
      </c>
      <c r="F175">
        <v>3.349609375</v>
      </c>
      <c r="G175">
        <v>3.349609375</v>
      </c>
      <c r="H175">
        <v>8.1032190793728578</v>
      </c>
      <c r="I175">
        <v>6.349094365957086</v>
      </c>
      <c r="J175">
        <v>1.6634962234453596</v>
      </c>
      <c r="K175">
        <v>7.4861802982061415E-3</v>
      </c>
      <c r="L175">
        <v>91.896780920627137</v>
      </c>
      <c r="M175">
        <v>931079.23</v>
      </c>
      <c r="N175">
        <v>10559159.66</v>
      </c>
      <c r="O175">
        <v>11490238.890000001</v>
      </c>
      <c r="P175">
        <v>516599.796875</v>
      </c>
    </row>
    <row r="176" spans="1:16" x14ac:dyDescent="0.25">
      <c r="A176" s="28">
        <v>42128.32303240741</v>
      </c>
      <c r="B176">
        <v>3</v>
      </c>
      <c r="C176">
        <v>48</v>
      </c>
      <c r="D176">
        <v>24</v>
      </c>
      <c r="E176">
        <v>2</v>
      </c>
      <c r="F176">
        <v>2.4892578125</v>
      </c>
      <c r="G176">
        <v>2.4892578125</v>
      </c>
      <c r="H176">
        <v>8.3845483133704839</v>
      </c>
      <c r="I176">
        <v>6.7686953654669546</v>
      </c>
      <c r="J176">
        <v>1.5087764501054473</v>
      </c>
      <c r="K176">
        <v>1.2698738117441025E-2</v>
      </c>
      <c r="L176">
        <v>91.615451686629513</v>
      </c>
      <c r="M176">
        <v>962529.55</v>
      </c>
      <c r="N176">
        <v>10517272.51</v>
      </c>
      <c r="O176">
        <v>11479802.060000001</v>
      </c>
      <c r="P176">
        <v>516599.796875</v>
      </c>
    </row>
    <row r="177" spans="1:16" x14ac:dyDescent="0.25">
      <c r="A177" s="28">
        <v>42128.32303240741</v>
      </c>
      <c r="B177">
        <v>4</v>
      </c>
      <c r="C177">
        <v>48</v>
      </c>
      <c r="D177">
        <v>24</v>
      </c>
      <c r="E177">
        <v>2</v>
      </c>
      <c r="F177">
        <v>3.2197265625</v>
      </c>
      <c r="G177">
        <v>3.2197265625</v>
      </c>
      <c r="H177">
        <v>3.5614540065767022</v>
      </c>
      <c r="I177">
        <v>2.3408279282692583</v>
      </c>
      <c r="J177">
        <v>1.1822549183293931</v>
      </c>
      <c r="K177">
        <v>1.5286647622022902E-2</v>
      </c>
      <c r="L177">
        <v>96.438545993423304</v>
      </c>
      <c r="M177">
        <v>409862.05</v>
      </c>
      <c r="N177">
        <v>11098416.57</v>
      </c>
      <c r="O177">
        <v>11508278.619999999</v>
      </c>
      <c r="P177">
        <v>451959.83203125</v>
      </c>
    </row>
    <row r="178" spans="1:16" x14ac:dyDescent="0.25">
      <c r="A178" s="28">
        <v>42128.333460648151</v>
      </c>
      <c r="B178">
        <v>1</v>
      </c>
      <c r="C178">
        <v>48</v>
      </c>
      <c r="D178">
        <v>24</v>
      </c>
      <c r="E178">
        <v>2</v>
      </c>
      <c r="F178">
        <v>4.2890625</v>
      </c>
      <c r="G178">
        <v>4.2890625</v>
      </c>
      <c r="H178">
        <v>6.1631641043546503</v>
      </c>
      <c r="I178">
        <v>4.2855973719446805</v>
      </c>
      <c r="J178">
        <v>1.750200990566396</v>
      </c>
      <c r="K178">
        <v>7.7600434474264547E-3</v>
      </c>
      <c r="L178">
        <v>93.836835895645351</v>
      </c>
      <c r="M178">
        <v>710205.38</v>
      </c>
      <c r="N178">
        <v>10813183.710000001</v>
      </c>
      <c r="O178">
        <v>11523389.09</v>
      </c>
      <c r="P178">
        <v>516599.796875</v>
      </c>
    </row>
    <row r="179" spans="1:16" x14ac:dyDescent="0.25">
      <c r="A179" s="28">
        <v>42128.333460648151</v>
      </c>
      <c r="B179">
        <v>2</v>
      </c>
      <c r="C179">
        <v>48</v>
      </c>
      <c r="D179">
        <v>24</v>
      </c>
      <c r="E179">
        <v>2</v>
      </c>
      <c r="F179">
        <v>3.1591796875</v>
      </c>
      <c r="G179">
        <v>3.1591796875</v>
      </c>
      <c r="H179">
        <v>8.0932833907925552</v>
      </c>
      <c r="I179">
        <v>6.3351386911921894</v>
      </c>
      <c r="J179">
        <v>1.66774680528002</v>
      </c>
      <c r="K179">
        <v>7.5195016459561701E-3</v>
      </c>
      <c r="L179">
        <v>91.90671660920745</v>
      </c>
      <c r="M179">
        <v>933415.46</v>
      </c>
      <c r="N179">
        <v>10599795.66</v>
      </c>
      <c r="O179">
        <v>11533211.119999999</v>
      </c>
      <c r="P179">
        <v>516599.796875</v>
      </c>
    </row>
    <row r="180" spans="1:16" x14ac:dyDescent="0.25">
      <c r="A180" s="28">
        <v>42128.333460648151</v>
      </c>
      <c r="B180">
        <v>3</v>
      </c>
      <c r="C180">
        <v>48</v>
      </c>
      <c r="D180">
        <v>24</v>
      </c>
      <c r="E180">
        <v>2</v>
      </c>
      <c r="F180">
        <v>2.33984375</v>
      </c>
      <c r="G180">
        <v>2.33984375</v>
      </c>
      <c r="H180">
        <v>8.3703163232609139</v>
      </c>
      <c r="I180">
        <v>6.7554623327243597</v>
      </c>
      <c r="J180">
        <v>1.5079853729621564</v>
      </c>
      <c r="K180">
        <v>1.2726250287049231E-2</v>
      </c>
      <c r="L180">
        <v>91.629683676739091</v>
      </c>
      <c r="M180">
        <v>964487.99</v>
      </c>
      <c r="N180">
        <v>10558230.539999999</v>
      </c>
      <c r="O180">
        <v>11522718.529999999</v>
      </c>
      <c r="P180">
        <v>516599.796875</v>
      </c>
    </row>
    <row r="181" spans="1:16" x14ac:dyDescent="0.25">
      <c r="A181" s="28">
        <v>42128.333460648151</v>
      </c>
      <c r="B181">
        <v>4</v>
      </c>
      <c r="C181">
        <v>48</v>
      </c>
      <c r="D181">
        <v>24</v>
      </c>
      <c r="E181">
        <v>2</v>
      </c>
      <c r="F181">
        <v>2.8291015625</v>
      </c>
      <c r="G181">
        <v>2.8291015625</v>
      </c>
      <c r="H181">
        <v>3.5656895803102935</v>
      </c>
      <c r="I181">
        <v>2.3395517805888022</v>
      </c>
      <c r="J181">
        <v>1.1878167812769178</v>
      </c>
      <c r="K181">
        <v>1.5384989955847894E-2</v>
      </c>
      <c r="L181">
        <v>96.434310419689709</v>
      </c>
      <c r="M181">
        <v>411882.03</v>
      </c>
      <c r="N181">
        <v>11139376.73</v>
      </c>
      <c r="O181">
        <v>11551258.76</v>
      </c>
      <c r="P181">
        <v>451959.83203125</v>
      </c>
    </row>
    <row r="182" spans="1:16" x14ac:dyDescent="0.25">
      <c r="A182" s="28">
        <v>42128.343877314815</v>
      </c>
      <c r="B182">
        <v>1</v>
      </c>
      <c r="C182">
        <v>48</v>
      </c>
      <c r="D182">
        <v>24</v>
      </c>
      <c r="E182">
        <v>2</v>
      </c>
      <c r="F182">
        <v>3.2890625</v>
      </c>
      <c r="G182">
        <v>3.2890625</v>
      </c>
      <c r="H182">
        <v>6.160746279179917</v>
      </c>
      <c r="I182">
        <v>4.2796725933879056</v>
      </c>
      <c r="J182">
        <v>1.7540673968547993</v>
      </c>
      <c r="K182">
        <v>7.8219207694214341E-3</v>
      </c>
      <c r="L182">
        <v>93.839253720820082</v>
      </c>
      <c r="M182">
        <v>712572.9</v>
      </c>
      <c r="N182">
        <v>10853767.73</v>
      </c>
      <c r="O182">
        <v>11566340.630000001</v>
      </c>
      <c r="P182">
        <v>516599.796875</v>
      </c>
    </row>
    <row r="183" spans="1:16" x14ac:dyDescent="0.25">
      <c r="A183" s="28">
        <v>42128.343877314815</v>
      </c>
      <c r="B183">
        <v>2</v>
      </c>
      <c r="C183">
        <v>48</v>
      </c>
      <c r="D183">
        <v>24</v>
      </c>
      <c r="E183">
        <v>2</v>
      </c>
      <c r="F183">
        <v>2.6396484375</v>
      </c>
      <c r="G183">
        <v>2.6396484375</v>
      </c>
      <c r="H183">
        <v>8.0811661164802313</v>
      </c>
      <c r="I183">
        <v>6.3195070881712017</v>
      </c>
      <c r="J183">
        <v>1.6715305848721753</v>
      </c>
      <c r="K183">
        <v>7.544263819590352E-3</v>
      </c>
      <c r="L183">
        <v>91.918833883519767</v>
      </c>
      <c r="M183">
        <v>935492.95</v>
      </c>
      <c r="N183">
        <v>10640719.4</v>
      </c>
      <c r="O183">
        <v>11576212.35</v>
      </c>
      <c r="P183">
        <v>516599.796875</v>
      </c>
    </row>
    <row r="184" spans="1:16" x14ac:dyDescent="0.25">
      <c r="A184" s="28">
        <v>42128.343877314815</v>
      </c>
      <c r="B184">
        <v>3</v>
      </c>
      <c r="C184">
        <v>48</v>
      </c>
      <c r="D184">
        <v>24</v>
      </c>
      <c r="E184">
        <v>2</v>
      </c>
      <c r="F184">
        <v>2.08984375</v>
      </c>
      <c r="G184">
        <v>2.08984375</v>
      </c>
      <c r="H184">
        <v>8.3515544882044441</v>
      </c>
      <c r="I184">
        <v>6.7385469536102098</v>
      </c>
      <c r="J184">
        <v>1.5064311975745068</v>
      </c>
      <c r="K184">
        <v>1.2728076328187137E-2</v>
      </c>
      <c r="L184">
        <v>91.648445511795558</v>
      </c>
      <c r="M184">
        <v>965915</v>
      </c>
      <c r="N184">
        <v>10599776.17</v>
      </c>
      <c r="O184">
        <v>11565691.17</v>
      </c>
      <c r="P184">
        <v>516599.796875</v>
      </c>
    </row>
    <row r="185" spans="1:16" x14ac:dyDescent="0.25">
      <c r="A185" s="28">
        <v>42128.343877314815</v>
      </c>
      <c r="B185">
        <v>4</v>
      </c>
      <c r="C185">
        <v>48</v>
      </c>
      <c r="D185">
        <v>24</v>
      </c>
      <c r="E185">
        <v>2</v>
      </c>
      <c r="F185">
        <v>2.9091796875</v>
      </c>
      <c r="G185">
        <v>2.9091796875</v>
      </c>
      <c r="H185">
        <v>3.5696040508861104</v>
      </c>
      <c r="I185">
        <v>2.3380603516965848</v>
      </c>
      <c r="J185">
        <v>1.1932752778840514</v>
      </c>
      <c r="K185">
        <v>1.548524965671136E-2</v>
      </c>
      <c r="L185">
        <v>96.430395949113887</v>
      </c>
      <c r="M185">
        <v>413869.15</v>
      </c>
      <c r="N185">
        <v>11180390.16</v>
      </c>
      <c r="O185">
        <v>11594259.310000001</v>
      </c>
      <c r="P185">
        <v>451959.83203125</v>
      </c>
    </row>
    <row r="186" spans="1:16" x14ac:dyDescent="0.25">
      <c r="A186" s="28">
        <v>42128.354305555556</v>
      </c>
      <c r="B186">
        <v>1</v>
      </c>
      <c r="C186">
        <v>48</v>
      </c>
      <c r="D186">
        <v>24</v>
      </c>
      <c r="E186">
        <v>2</v>
      </c>
      <c r="F186">
        <v>2.9794921875</v>
      </c>
      <c r="G186">
        <v>2.9794921875</v>
      </c>
      <c r="H186">
        <v>6.1568319667803326</v>
      </c>
      <c r="I186">
        <v>4.2724755379193091</v>
      </c>
      <c r="J186">
        <v>1.7577231032692093</v>
      </c>
      <c r="K186">
        <v>7.8859151146538978E-3</v>
      </c>
      <c r="L186">
        <v>93.843168033219669</v>
      </c>
      <c r="M186">
        <v>714765.45</v>
      </c>
      <c r="N186">
        <v>10894540.34</v>
      </c>
      <c r="O186">
        <v>11609305.789999999</v>
      </c>
      <c r="P186">
        <v>516599.796875</v>
      </c>
    </row>
    <row r="187" spans="1:16" x14ac:dyDescent="0.25">
      <c r="A187" s="28">
        <v>42128.354305555556</v>
      </c>
      <c r="B187">
        <v>2</v>
      </c>
      <c r="C187">
        <v>48</v>
      </c>
      <c r="D187">
        <v>24</v>
      </c>
      <c r="E187">
        <v>2</v>
      </c>
      <c r="F187">
        <v>2.9892578125</v>
      </c>
      <c r="G187">
        <v>2.9892578125</v>
      </c>
      <c r="H187">
        <v>8.0694011769373937</v>
      </c>
      <c r="I187">
        <v>6.3040904465686394</v>
      </c>
      <c r="J187">
        <v>1.6754457914094723</v>
      </c>
      <c r="K187">
        <v>7.5741781125981938E-3</v>
      </c>
      <c r="L187">
        <v>91.93059882306261</v>
      </c>
      <c r="M187">
        <v>937601.03</v>
      </c>
      <c r="N187">
        <v>10681613.449999999</v>
      </c>
      <c r="O187">
        <v>11619214.48</v>
      </c>
      <c r="P187">
        <v>516599.796875</v>
      </c>
    </row>
    <row r="188" spans="1:16" x14ac:dyDescent="0.25">
      <c r="A188" s="28">
        <v>42128.354305555556</v>
      </c>
      <c r="B188">
        <v>3</v>
      </c>
      <c r="C188">
        <v>48</v>
      </c>
      <c r="D188">
        <v>24</v>
      </c>
      <c r="E188">
        <v>2</v>
      </c>
      <c r="F188">
        <v>2.869140625</v>
      </c>
      <c r="G188">
        <v>2.869140625</v>
      </c>
      <c r="H188">
        <v>8.3334000866609941</v>
      </c>
      <c r="I188">
        <v>6.7222770599720212</v>
      </c>
      <c r="J188">
        <v>1.5048366828131674</v>
      </c>
      <c r="K188">
        <v>1.2725844622547137E-2</v>
      </c>
      <c r="L188">
        <v>91.666599913338999</v>
      </c>
      <c r="M188">
        <v>967396.06</v>
      </c>
      <c r="N188">
        <v>10641263.67</v>
      </c>
      <c r="O188">
        <v>11608659.73</v>
      </c>
      <c r="P188">
        <v>516599.796875</v>
      </c>
    </row>
    <row r="189" spans="1:16" x14ac:dyDescent="0.25">
      <c r="A189" s="28">
        <v>42128.354305555556</v>
      </c>
      <c r="B189">
        <v>4</v>
      </c>
      <c r="C189">
        <v>48</v>
      </c>
      <c r="D189">
        <v>24</v>
      </c>
      <c r="E189">
        <v>2</v>
      </c>
      <c r="F189">
        <v>2.7890625</v>
      </c>
      <c r="G189">
        <v>2.7890625</v>
      </c>
      <c r="H189">
        <v>3.5735878167188497</v>
      </c>
      <c r="I189">
        <v>2.3368717329702671</v>
      </c>
      <c r="J189">
        <v>1.1985211513804461</v>
      </c>
      <c r="K189">
        <v>1.5581171711141829E-2</v>
      </c>
      <c r="L189">
        <v>96.426412183281144</v>
      </c>
      <c r="M189">
        <v>415867.37</v>
      </c>
      <c r="N189">
        <v>11221383.24</v>
      </c>
      <c r="O189">
        <v>11637250.609999999</v>
      </c>
      <c r="P189">
        <v>451959.83203125</v>
      </c>
    </row>
    <row r="190" spans="1:16" x14ac:dyDescent="0.25">
      <c r="A190" s="28">
        <v>42128.364722222221</v>
      </c>
      <c r="B190">
        <v>1</v>
      </c>
      <c r="C190">
        <v>48</v>
      </c>
      <c r="D190">
        <v>24</v>
      </c>
      <c r="E190">
        <v>2</v>
      </c>
      <c r="F190">
        <v>3.3095703125</v>
      </c>
      <c r="G190">
        <v>3.3095703125</v>
      </c>
      <c r="H190">
        <v>6.153911308601919</v>
      </c>
      <c r="I190">
        <v>4.2661760131371214</v>
      </c>
      <c r="J190">
        <v>1.7614710944217253</v>
      </c>
      <c r="K190">
        <v>7.9491033361231995E-3</v>
      </c>
      <c r="L190">
        <v>93.84608869139808</v>
      </c>
      <c r="M190">
        <v>717069.6</v>
      </c>
      <c r="N190">
        <v>10935188.029999999</v>
      </c>
      <c r="O190">
        <v>11652257.630000001</v>
      </c>
      <c r="P190">
        <v>516599.796875</v>
      </c>
    </row>
    <row r="191" spans="1:16" x14ac:dyDescent="0.25">
      <c r="A191" s="28">
        <v>42128.364722222221</v>
      </c>
      <c r="B191">
        <v>2</v>
      </c>
      <c r="C191">
        <v>48</v>
      </c>
      <c r="D191">
        <v>24</v>
      </c>
      <c r="E191">
        <v>2</v>
      </c>
      <c r="F191">
        <v>3.259765625</v>
      </c>
      <c r="G191">
        <v>3.259765625</v>
      </c>
      <c r="H191">
        <v>8.0583124796991914</v>
      </c>
      <c r="I191">
        <v>6.2895812936773403</v>
      </c>
      <c r="J191">
        <v>1.6791354649025876</v>
      </c>
      <c r="K191">
        <v>7.6322519139469351E-3</v>
      </c>
      <c r="L191">
        <v>91.941687520300803</v>
      </c>
      <c r="M191">
        <v>939778.12</v>
      </c>
      <c r="N191">
        <v>10722441.76</v>
      </c>
      <c r="O191">
        <v>11662219.880000001</v>
      </c>
      <c r="P191">
        <v>516599.796875</v>
      </c>
    </row>
    <row r="192" spans="1:16" x14ac:dyDescent="0.25">
      <c r="A192" s="28">
        <v>42128.364722222221</v>
      </c>
      <c r="B192">
        <v>3</v>
      </c>
      <c r="C192">
        <v>48</v>
      </c>
      <c r="D192">
        <v>24</v>
      </c>
      <c r="E192">
        <v>2</v>
      </c>
      <c r="F192">
        <v>2.83984375</v>
      </c>
      <c r="G192">
        <v>2.83984375</v>
      </c>
      <c r="H192">
        <v>8.3154619512617192</v>
      </c>
      <c r="I192">
        <v>6.7062856094046674</v>
      </c>
      <c r="J192">
        <v>1.5031940133250343</v>
      </c>
      <c r="K192">
        <v>1.2722005888054187E-2</v>
      </c>
      <c r="L192">
        <v>91.684538048738276</v>
      </c>
      <c r="M192">
        <v>968886.17</v>
      </c>
      <c r="N192">
        <v>10682735.539999999</v>
      </c>
      <c r="O192">
        <v>11651621.710000001</v>
      </c>
      <c r="P192">
        <v>516599.796875</v>
      </c>
    </row>
    <row r="193" spans="1:16" x14ac:dyDescent="0.25">
      <c r="A193" s="28">
        <v>42128.364722222221</v>
      </c>
      <c r="B193">
        <v>4</v>
      </c>
      <c r="C193">
        <v>48</v>
      </c>
      <c r="D193">
        <v>24</v>
      </c>
      <c r="E193">
        <v>2</v>
      </c>
      <c r="F193">
        <v>3.099609375</v>
      </c>
      <c r="G193">
        <v>3.099609375</v>
      </c>
      <c r="H193">
        <v>3.5779645199691572</v>
      </c>
      <c r="I193">
        <v>2.3360251386168769</v>
      </c>
      <c r="J193">
        <v>1.2038056876809367</v>
      </c>
      <c r="K193">
        <v>1.5674667154884608E-2</v>
      </c>
      <c r="L193">
        <v>96.422035480030843</v>
      </c>
      <c r="M193">
        <v>417915.13</v>
      </c>
      <c r="N193">
        <v>11262332.890000001</v>
      </c>
      <c r="O193">
        <v>11680248.02</v>
      </c>
      <c r="P193">
        <v>451959.83203125</v>
      </c>
    </row>
    <row r="194" spans="1:16" x14ac:dyDescent="0.25">
      <c r="A194" s="28">
        <v>42128.375150462962</v>
      </c>
      <c r="B194">
        <v>1</v>
      </c>
      <c r="C194">
        <v>48</v>
      </c>
      <c r="D194">
        <v>24</v>
      </c>
      <c r="E194">
        <v>2</v>
      </c>
      <c r="F194">
        <v>3.5791015625</v>
      </c>
      <c r="G194">
        <v>3.5791015625</v>
      </c>
      <c r="H194">
        <v>6.1503596927430584</v>
      </c>
      <c r="I194">
        <v>4.2592660754379663</v>
      </c>
      <c r="J194">
        <v>1.765196559199943</v>
      </c>
      <c r="K194">
        <v>8.0243082620847627E-3</v>
      </c>
      <c r="L194">
        <v>93.849640307256948</v>
      </c>
      <c r="M194">
        <v>719297.71</v>
      </c>
      <c r="N194">
        <v>10975916</v>
      </c>
      <c r="O194">
        <v>11695213.710000001</v>
      </c>
      <c r="P194">
        <v>516599.796875</v>
      </c>
    </row>
    <row r="195" spans="1:16" x14ac:dyDescent="0.25">
      <c r="A195" s="28">
        <v>42128.375150462962</v>
      </c>
      <c r="B195">
        <v>2</v>
      </c>
      <c r="C195">
        <v>48</v>
      </c>
      <c r="D195">
        <v>24</v>
      </c>
      <c r="E195">
        <v>2</v>
      </c>
      <c r="F195">
        <v>3.4697265625</v>
      </c>
      <c r="G195">
        <v>3.4697265625</v>
      </c>
      <c r="H195">
        <v>8.0466648795001667</v>
      </c>
      <c r="I195">
        <v>6.2745548938606159</v>
      </c>
      <c r="J195">
        <v>1.6827968541290461</v>
      </c>
      <c r="K195">
        <v>7.6782752832450273E-3</v>
      </c>
      <c r="L195">
        <v>91.95333512049983</v>
      </c>
      <c r="M195">
        <v>941880.86</v>
      </c>
      <c r="N195">
        <v>10763351.98</v>
      </c>
      <c r="O195">
        <v>11705232.84</v>
      </c>
      <c r="P195">
        <v>516599.796875</v>
      </c>
    </row>
    <row r="196" spans="1:16" x14ac:dyDescent="0.25">
      <c r="A196" s="28">
        <v>42128.375150462962</v>
      </c>
      <c r="B196">
        <v>3</v>
      </c>
      <c r="C196">
        <v>48</v>
      </c>
      <c r="D196">
        <v>24</v>
      </c>
      <c r="E196">
        <v>2</v>
      </c>
      <c r="F196">
        <v>2.529296875</v>
      </c>
      <c r="G196">
        <v>2.529296875</v>
      </c>
      <c r="H196">
        <v>8.296747990004139</v>
      </c>
      <c r="I196">
        <v>6.6895863024384274</v>
      </c>
      <c r="J196">
        <v>1.501491560054224</v>
      </c>
      <c r="K196">
        <v>1.2715696538672905E-2</v>
      </c>
      <c r="L196">
        <v>91.703252009995865</v>
      </c>
      <c r="M196">
        <v>970271.59</v>
      </c>
      <c r="N196">
        <v>10724329.609999999</v>
      </c>
      <c r="O196">
        <v>11694601.199999999</v>
      </c>
      <c r="P196">
        <v>516599.796875</v>
      </c>
    </row>
    <row r="197" spans="1:16" x14ac:dyDescent="0.25">
      <c r="A197" s="28">
        <v>42128.375150462962</v>
      </c>
      <c r="B197">
        <v>4</v>
      </c>
      <c r="C197">
        <v>48</v>
      </c>
      <c r="D197">
        <v>24</v>
      </c>
      <c r="E197">
        <v>2</v>
      </c>
      <c r="F197">
        <v>3.1591796875</v>
      </c>
      <c r="G197">
        <v>3.1591796875</v>
      </c>
      <c r="H197">
        <v>3.5817951538809085</v>
      </c>
      <c r="I197">
        <v>2.3348205061520177</v>
      </c>
      <c r="J197">
        <v>1.2089172712736542</v>
      </c>
      <c r="K197">
        <v>1.5756301141145686E-2</v>
      </c>
      <c r="L197">
        <v>96.418204846119096</v>
      </c>
      <c r="M197">
        <v>419902.67</v>
      </c>
      <c r="N197">
        <v>11303343.689999999</v>
      </c>
      <c r="O197">
        <v>11723246.359999999</v>
      </c>
      <c r="P197">
        <v>451959.83203125</v>
      </c>
    </row>
    <row r="198" spans="1:16" x14ac:dyDescent="0.25">
      <c r="A198" s="28">
        <v>42128.385578703703</v>
      </c>
      <c r="B198">
        <v>1</v>
      </c>
      <c r="C198">
        <v>48</v>
      </c>
      <c r="D198">
        <v>24</v>
      </c>
      <c r="E198">
        <v>2</v>
      </c>
      <c r="F198">
        <v>3.3291015625</v>
      </c>
      <c r="G198">
        <v>3.3291015625</v>
      </c>
      <c r="H198">
        <v>6.1459950243774761</v>
      </c>
      <c r="I198">
        <v>4.2517622551989893</v>
      </c>
      <c r="J198">
        <v>1.7687086235835539</v>
      </c>
      <c r="K198">
        <v>8.0807210254387959E-3</v>
      </c>
      <c r="L198">
        <v>93.85400497562253</v>
      </c>
      <c r="M198">
        <v>721390.25</v>
      </c>
      <c r="N198">
        <v>11016176.199999999</v>
      </c>
      <c r="O198">
        <v>11737566.449999999</v>
      </c>
      <c r="P198">
        <v>516599.796875</v>
      </c>
    </row>
    <row r="199" spans="1:16" x14ac:dyDescent="0.25">
      <c r="A199" s="28">
        <v>42128.385578703703</v>
      </c>
      <c r="B199">
        <v>2</v>
      </c>
      <c r="C199">
        <v>48</v>
      </c>
      <c r="D199">
        <v>24</v>
      </c>
      <c r="E199">
        <v>2</v>
      </c>
      <c r="F199">
        <v>2.51953125</v>
      </c>
      <c r="G199">
        <v>2.51953125</v>
      </c>
      <c r="H199">
        <v>8.0341217611065385</v>
      </c>
      <c r="I199">
        <v>6.2588229388750065</v>
      </c>
      <c r="J199">
        <v>1.6862650057820263</v>
      </c>
      <c r="K199">
        <v>7.7216376549937276E-3</v>
      </c>
      <c r="L199">
        <v>91.965878238893467</v>
      </c>
      <c r="M199">
        <v>943819.5</v>
      </c>
      <c r="N199">
        <v>10803817.99</v>
      </c>
      <c r="O199">
        <v>11747637.49</v>
      </c>
      <c r="P199">
        <v>516599.796875</v>
      </c>
    </row>
    <row r="200" spans="1:16" x14ac:dyDescent="0.25">
      <c r="A200" s="28">
        <v>42128.385578703703</v>
      </c>
      <c r="B200">
        <v>3</v>
      </c>
      <c r="C200">
        <v>48</v>
      </c>
      <c r="D200">
        <v>24</v>
      </c>
      <c r="E200">
        <v>2</v>
      </c>
      <c r="F200">
        <v>2.1298828125</v>
      </c>
      <c r="G200">
        <v>2.1298828125</v>
      </c>
      <c r="H200">
        <v>8.2778005810886999</v>
      </c>
      <c r="I200">
        <v>6.6726811504465546</v>
      </c>
      <c r="J200">
        <v>1.4997626870173342</v>
      </c>
      <c r="K200">
        <v>1.2712799925162411E-2</v>
      </c>
      <c r="L200">
        <v>91.722199418911302</v>
      </c>
      <c r="M200">
        <v>971564.59</v>
      </c>
      <c r="N200">
        <v>10765424.970000001</v>
      </c>
      <c r="O200">
        <v>11736989.560000001</v>
      </c>
      <c r="P200">
        <v>516599.796875</v>
      </c>
    </row>
    <row r="201" spans="1:16" x14ac:dyDescent="0.25">
      <c r="A201" s="28">
        <v>42128.385578703703</v>
      </c>
      <c r="B201">
        <v>4</v>
      </c>
      <c r="C201">
        <v>48</v>
      </c>
      <c r="D201">
        <v>24</v>
      </c>
      <c r="E201">
        <v>2</v>
      </c>
      <c r="F201">
        <v>2.9892578125</v>
      </c>
      <c r="G201">
        <v>2.9892578125</v>
      </c>
      <c r="H201">
        <v>3.5849695685662213</v>
      </c>
      <c r="I201">
        <v>2.3330274919218206</v>
      </c>
      <c r="J201">
        <v>1.21395128369462</v>
      </c>
      <c r="K201">
        <v>1.5830077849618551E-2</v>
      </c>
      <c r="L201">
        <v>96.415030431433777</v>
      </c>
      <c r="M201">
        <v>421794.62</v>
      </c>
      <c r="N201">
        <v>11343845.560000001</v>
      </c>
      <c r="O201">
        <v>11765640.18</v>
      </c>
      <c r="P201">
        <v>451959.83203125</v>
      </c>
    </row>
    <row r="202" spans="1:16" x14ac:dyDescent="0.25">
      <c r="A202" s="28">
        <v>42128.395844907405</v>
      </c>
      <c r="B202">
        <v>1</v>
      </c>
      <c r="C202">
        <v>48</v>
      </c>
      <c r="D202">
        <v>24</v>
      </c>
      <c r="E202">
        <v>2</v>
      </c>
      <c r="F202">
        <v>2.8994140625</v>
      </c>
      <c r="G202">
        <v>2.8994140625</v>
      </c>
      <c r="H202">
        <v>6.1414576264371119</v>
      </c>
      <c r="I202">
        <v>4.2441185887044872</v>
      </c>
      <c r="J202">
        <v>1.772188508152829</v>
      </c>
      <c r="K202">
        <v>8.1522624087960981E-3</v>
      </c>
      <c r="L202">
        <v>93.858542373562884</v>
      </c>
      <c r="M202">
        <v>723496.47</v>
      </c>
      <c r="N202">
        <v>11057036.98</v>
      </c>
      <c r="O202">
        <v>11780533.449999999</v>
      </c>
      <c r="P202">
        <v>516599.796875</v>
      </c>
    </row>
    <row r="203" spans="1:16" x14ac:dyDescent="0.25">
      <c r="A203" s="28">
        <v>42128.395844907405</v>
      </c>
      <c r="B203">
        <v>2</v>
      </c>
      <c r="C203">
        <v>48</v>
      </c>
      <c r="D203">
        <v>24</v>
      </c>
      <c r="E203">
        <v>2</v>
      </c>
      <c r="F203">
        <v>3.099609375</v>
      </c>
      <c r="G203">
        <v>3.099609375</v>
      </c>
      <c r="H203">
        <v>8.0213624949189857</v>
      </c>
      <c r="I203">
        <v>6.2429327726697279</v>
      </c>
      <c r="J203">
        <v>1.6896808049837075</v>
      </c>
      <c r="K203">
        <v>7.7597884260986001E-3</v>
      </c>
      <c r="L203">
        <v>91.978637505081011</v>
      </c>
      <c r="M203">
        <v>945771.3</v>
      </c>
      <c r="N203">
        <v>10844885.220000001</v>
      </c>
      <c r="O203">
        <v>11790656.52</v>
      </c>
      <c r="P203">
        <v>516599.796875</v>
      </c>
    </row>
    <row r="204" spans="1:16" x14ac:dyDescent="0.25">
      <c r="A204" s="28">
        <v>42128.395844907405</v>
      </c>
      <c r="B204">
        <v>3</v>
      </c>
      <c r="C204">
        <v>48</v>
      </c>
      <c r="D204">
        <v>24</v>
      </c>
      <c r="E204">
        <v>2</v>
      </c>
      <c r="F204">
        <v>1.8896484375</v>
      </c>
      <c r="G204">
        <v>1.8896484375</v>
      </c>
      <c r="H204">
        <v>8.2584873008968867</v>
      </c>
      <c r="I204">
        <v>6.6555121173138998</v>
      </c>
      <c r="J204">
        <v>1.4979383365861612</v>
      </c>
      <c r="K204">
        <v>1.2714971997693961E-2</v>
      </c>
      <c r="L204">
        <v>91.741512699103112</v>
      </c>
      <c r="M204">
        <v>972847.4</v>
      </c>
      <c r="N204">
        <v>10807123.49</v>
      </c>
      <c r="O204">
        <v>11779970.890000001</v>
      </c>
      <c r="P204">
        <v>516599.796875</v>
      </c>
    </row>
    <row r="205" spans="1:16" x14ac:dyDescent="0.25">
      <c r="A205" s="28">
        <v>42128.395844907405</v>
      </c>
      <c r="B205">
        <v>4</v>
      </c>
      <c r="C205">
        <v>48</v>
      </c>
      <c r="D205">
        <v>24</v>
      </c>
      <c r="E205">
        <v>2</v>
      </c>
      <c r="F205">
        <v>2.8896484375</v>
      </c>
      <c r="G205">
        <v>2.8896484375</v>
      </c>
      <c r="H205">
        <v>3.5881134879881866</v>
      </c>
      <c r="I205">
        <v>2.3312793219881649</v>
      </c>
      <c r="J205">
        <v>1.218926259141607</v>
      </c>
      <c r="K205">
        <v>1.590334930064425E-2</v>
      </c>
      <c r="L205">
        <v>96.411886512011819</v>
      </c>
      <c r="M205">
        <v>423707.57</v>
      </c>
      <c r="N205">
        <v>11384937.039999999</v>
      </c>
      <c r="O205">
        <v>11808644.609999999</v>
      </c>
      <c r="P205">
        <v>451959.83203125</v>
      </c>
    </row>
    <row r="206" spans="1:16" x14ac:dyDescent="0.25">
      <c r="A206" s="28">
        <v>42128.406273148146</v>
      </c>
      <c r="B206">
        <v>1</v>
      </c>
      <c r="C206">
        <v>48</v>
      </c>
      <c r="D206">
        <v>24</v>
      </c>
      <c r="E206">
        <v>2</v>
      </c>
      <c r="F206">
        <v>3.0498046875</v>
      </c>
      <c r="G206">
        <v>3.0498046875</v>
      </c>
      <c r="H206">
        <v>6.1382778424572582</v>
      </c>
      <c r="I206">
        <v>4.2379261503043981</v>
      </c>
      <c r="J206">
        <v>1.7755637237537174</v>
      </c>
      <c r="K206">
        <v>8.2256051620073767E-3</v>
      </c>
      <c r="L206">
        <v>93.861722157542744</v>
      </c>
      <c r="M206">
        <v>725763.44</v>
      </c>
      <c r="N206">
        <v>11097804.32</v>
      </c>
      <c r="O206">
        <v>11823567.76</v>
      </c>
      <c r="P206">
        <v>516599.796875</v>
      </c>
    </row>
    <row r="207" spans="1:16" x14ac:dyDescent="0.25">
      <c r="A207" s="28">
        <v>42128.406273148146</v>
      </c>
      <c r="B207">
        <v>2</v>
      </c>
      <c r="C207">
        <v>48</v>
      </c>
      <c r="D207">
        <v>24</v>
      </c>
      <c r="E207">
        <v>2</v>
      </c>
      <c r="F207">
        <v>2.9697265625</v>
      </c>
      <c r="G207">
        <v>2.9697265625</v>
      </c>
      <c r="H207">
        <v>8.009058747137388</v>
      </c>
      <c r="I207">
        <v>6.2274980789065495</v>
      </c>
      <c r="J207">
        <v>1.6930903462061928</v>
      </c>
      <c r="K207">
        <v>7.8054766578368956E-3</v>
      </c>
      <c r="L207">
        <v>91.990941252862612</v>
      </c>
      <c r="M207">
        <v>947771.38</v>
      </c>
      <c r="N207">
        <v>10885971.01</v>
      </c>
      <c r="O207">
        <v>11833742.390000001</v>
      </c>
      <c r="P207">
        <v>516599.796875</v>
      </c>
    </row>
    <row r="208" spans="1:16" x14ac:dyDescent="0.25">
      <c r="A208" s="28">
        <v>42128.406273148146</v>
      </c>
      <c r="B208">
        <v>3</v>
      </c>
      <c r="C208">
        <v>48</v>
      </c>
      <c r="D208">
        <v>24</v>
      </c>
      <c r="E208">
        <v>2</v>
      </c>
      <c r="F208">
        <v>2.4091796875</v>
      </c>
      <c r="G208">
        <v>2.4091796875</v>
      </c>
      <c r="H208">
        <v>8.240037647967025</v>
      </c>
      <c r="I208">
        <v>6.6392182000503892</v>
      </c>
      <c r="J208">
        <v>1.4960958129802522</v>
      </c>
      <c r="K208">
        <v>1.272356429117248E-2</v>
      </c>
      <c r="L208">
        <v>91.759962352032971</v>
      </c>
      <c r="M208">
        <v>974221.59</v>
      </c>
      <c r="N208">
        <v>10848801.939999999</v>
      </c>
      <c r="O208">
        <v>11823023.529999999</v>
      </c>
      <c r="P208">
        <v>516599.796875</v>
      </c>
    </row>
    <row r="209" spans="1:16" x14ac:dyDescent="0.25">
      <c r="A209" s="28">
        <v>42128.406273148146</v>
      </c>
      <c r="B209">
        <v>4</v>
      </c>
      <c r="C209">
        <v>48</v>
      </c>
      <c r="D209">
        <v>24</v>
      </c>
      <c r="E209">
        <v>2</v>
      </c>
      <c r="F209">
        <v>2.8994140625</v>
      </c>
      <c r="G209">
        <v>2.8994140625</v>
      </c>
      <c r="H209">
        <v>3.5923362814054913</v>
      </c>
      <c r="I209">
        <v>2.3306045174018717</v>
      </c>
      <c r="J209">
        <v>1.2238928184952516</v>
      </c>
      <c r="K209">
        <v>1.5976098654798723E-2</v>
      </c>
      <c r="L209">
        <v>96.407663718594506</v>
      </c>
      <c r="M209">
        <v>425753.08</v>
      </c>
      <c r="N209">
        <v>11425951.4</v>
      </c>
      <c r="O209">
        <v>11851704.48</v>
      </c>
      <c r="P209">
        <v>451959.83203125</v>
      </c>
    </row>
    <row r="210" spans="1:16" x14ac:dyDescent="0.25">
      <c r="A210" s="28">
        <v>42128.416712962964</v>
      </c>
      <c r="B210">
        <v>1</v>
      </c>
      <c r="C210">
        <v>48</v>
      </c>
      <c r="D210">
        <v>24</v>
      </c>
      <c r="E210">
        <v>2</v>
      </c>
      <c r="F210">
        <v>3.259765625</v>
      </c>
      <c r="G210">
        <v>3.259765625</v>
      </c>
      <c r="H210">
        <v>6.1342355700161999</v>
      </c>
      <c r="I210">
        <v>4.2307258260127396</v>
      </c>
      <c r="J210">
        <v>1.7790851997886461</v>
      </c>
      <c r="K210">
        <v>8.2877392155828213E-3</v>
      </c>
      <c r="L210">
        <v>93.865764429983798</v>
      </c>
      <c r="M210">
        <v>727923.08</v>
      </c>
      <c r="N210">
        <v>11138642.390000001</v>
      </c>
      <c r="O210">
        <v>11866565.470000001</v>
      </c>
      <c r="P210">
        <v>516599.796875</v>
      </c>
    </row>
    <row r="211" spans="1:16" x14ac:dyDescent="0.25">
      <c r="A211" s="28">
        <v>42128.416712962964</v>
      </c>
      <c r="B211">
        <v>2</v>
      </c>
      <c r="C211">
        <v>48</v>
      </c>
      <c r="D211">
        <v>24</v>
      </c>
      <c r="E211">
        <v>2</v>
      </c>
      <c r="F211">
        <v>3.109375</v>
      </c>
      <c r="G211">
        <v>3.109375</v>
      </c>
      <c r="H211">
        <v>7.9976748209055852</v>
      </c>
      <c r="I211">
        <v>6.2130418031495926</v>
      </c>
      <c r="J211">
        <v>1.6964377742465002</v>
      </c>
      <c r="K211">
        <v>7.8339303360457548E-3</v>
      </c>
      <c r="L211">
        <v>92.002325179094413</v>
      </c>
      <c r="M211">
        <v>949867.6</v>
      </c>
      <c r="N211">
        <v>10926929.359999999</v>
      </c>
      <c r="O211">
        <v>11876796.960000001</v>
      </c>
      <c r="P211">
        <v>516599.796875</v>
      </c>
    </row>
    <row r="212" spans="1:16" x14ac:dyDescent="0.25">
      <c r="A212" s="28">
        <v>42128.416712962964</v>
      </c>
      <c r="B212">
        <v>3</v>
      </c>
      <c r="C212">
        <v>48</v>
      </c>
      <c r="D212">
        <v>24</v>
      </c>
      <c r="E212">
        <v>2</v>
      </c>
      <c r="F212">
        <v>1.9296875</v>
      </c>
      <c r="G212">
        <v>1.9296875</v>
      </c>
      <c r="H212">
        <v>8.2218566136246416</v>
      </c>
      <c r="I212">
        <v>6.6230578681215224</v>
      </c>
      <c r="J212">
        <v>1.4943762495601858</v>
      </c>
      <c r="K212">
        <v>1.2716294784458028E-2</v>
      </c>
      <c r="L212">
        <v>91.778143386375362</v>
      </c>
      <c r="M212">
        <v>975608.39</v>
      </c>
      <c r="N212">
        <v>10890426.689999999</v>
      </c>
      <c r="O212">
        <v>11866035.08</v>
      </c>
      <c r="P212">
        <v>516599.796875</v>
      </c>
    </row>
    <row r="213" spans="1:16" x14ac:dyDescent="0.25">
      <c r="A213" s="28">
        <v>42128.416712962964</v>
      </c>
      <c r="B213">
        <v>4</v>
      </c>
      <c r="C213">
        <v>48</v>
      </c>
      <c r="D213">
        <v>24</v>
      </c>
      <c r="E213">
        <v>2</v>
      </c>
      <c r="F213">
        <v>2.9091796875</v>
      </c>
      <c r="G213">
        <v>2.9091796875</v>
      </c>
      <c r="H213">
        <v>3.5954944156026842</v>
      </c>
      <c r="I213">
        <v>2.3289550493091484</v>
      </c>
      <c r="J213">
        <v>1.2287810247054467</v>
      </c>
      <c r="K213">
        <v>1.6056244501991012E-2</v>
      </c>
      <c r="L213">
        <v>96.404505584397313</v>
      </c>
      <c r="M213">
        <v>427675.04</v>
      </c>
      <c r="N213">
        <v>11467074.07</v>
      </c>
      <c r="O213">
        <v>11894749.109999999</v>
      </c>
      <c r="P213">
        <v>451959.83203125</v>
      </c>
    </row>
    <row r="214" spans="1:16" x14ac:dyDescent="0.25">
      <c r="A214" s="28">
        <v>42128.427141203705</v>
      </c>
      <c r="B214">
        <v>1</v>
      </c>
      <c r="C214">
        <v>48</v>
      </c>
      <c r="D214">
        <v>24</v>
      </c>
      <c r="E214">
        <v>2</v>
      </c>
      <c r="F214">
        <v>3.419921875</v>
      </c>
      <c r="G214">
        <v>3.419921875</v>
      </c>
      <c r="H214">
        <v>6.1296109052463601</v>
      </c>
      <c r="I214">
        <v>4.2232727489457398</v>
      </c>
      <c r="J214">
        <v>1.7823020747339238</v>
      </c>
      <c r="K214">
        <v>8.3587366540481718E-3</v>
      </c>
      <c r="L214">
        <v>93.870389094753634</v>
      </c>
      <c r="M214">
        <v>730010.6</v>
      </c>
      <c r="N214">
        <v>11179564.27</v>
      </c>
      <c r="O214">
        <v>11909574.869999999</v>
      </c>
      <c r="P214">
        <v>516599.796875</v>
      </c>
    </row>
    <row r="215" spans="1:16" x14ac:dyDescent="0.25">
      <c r="A215" s="28">
        <v>42128.427141203705</v>
      </c>
      <c r="B215">
        <v>2</v>
      </c>
      <c r="C215">
        <v>48</v>
      </c>
      <c r="D215">
        <v>24</v>
      </c>
      <c r="E215">
        <v>2</v>
      </c>
      <c r="F215">
        <v>2.759765625</v>
      </c>
      <c r="G215">
        <v>2.759765625</v>
      </c>
      <c r="H215">
        <v>7.9855774857860817</v>
      </c>
      <c r="I215">
        <v>6.1978641651810049</v>
      </c>
      <c r="J215">
        <v>1.6997950356932858</v>
      </c>
      <c r="K215">
        <v>7.8604234701024865E-3</v>
      </c>
      <c r="L215">
        <v>92.014422514213919</v>
      </c>
      <c r="M215">
        <v>951868.16</v>
      </c>
      <c r="N215">
        <v>10967973.1</v>
      </c>
      <c r="O215">
        <v>11919841.26</v>
      </c>
      <c r="P215">
        <v>516599.796875</v>
      </c>
    </row>
    <row r="216" spans="1:16" x14ac:dyDescent="0.25">
      <c r="A216" s="28">
        <v>42128.427141203705</v>
      </c>
      <c r="B216">
        <v>3</v>
      </c>
      <c r="C216">
        <v>48</v>
      </c>
      <c r="D216">
        <v>24</v>
      </c>
      <c r="E216">
        <v>2</v>
      </c>
      <c r="F216">
        <v>2.169921875</v>
      </c>
      <c r="G216">
        <v>2.169921875</v>
      </c>
      <c r="H216">
        <v>8.2035995480443678</v>
      </c>
      <c r="I216">
        <v>6.6067532988014293</v>
      </c>
      <c r="J216">
        <v>1.4927221158982764</v>
      </c>
      <c r="K216">
        <v>1.2717980218246045E-2</v>
      </c>
      <c r="L216">
        <v>91.796400451955634</v>
      </c>
      <c r="M216">
        <v>976970.37</v>
      </c>
      <c r="N216">
        <v>10932074.73</v>
      </c>
      <c r="O216">
        <v>11909045.1</v>
      </c>
      <c r="P216">
        <v>516599.796875</v>
      </c>
    </row>
    <row r="217" spans="1:16" x14ac:dyDescent="0.25">
      <c r="A217" s="28">
        <v>42128.427141203705</v>
      </c>
      <c r="B217">
        <v>4</v>
      </c>
      <c r="C217">
        <v>48</v>
      </c>
      <c r="D217">
        <v>24</v>
      </c>
      <c r="E217">
        <v>2</v>
      </c>
      <c r="F217">
        <v>3.119140625</v>
      </c>
      <c r="G217">
        <v>3.119140625</v>
      </c>
      <c r="H217">
        <v>3.5985630816325966</v>
      </c>
      <c r="I217">
        <v>2.3271729268182964</v>
      </c>
      <c r="J217">
        <v>1.2336997226050701</v>
      </c>
      <c r="K217">
        <v>1.6133321068962411E-2</v>
      </c>
      <c r="L217">
        <v>96.401436918367409</v>
      </c>
      <c r="M217">
        <v>429588.46</v>
      </c>
      <c r="N217">
        <v>11508189.210000001</v>
      </c>
      <c r="O217">
        <v>11937777.67</v>
      </c>
      <c r="P217">
        <v>451959.83203125</v>
      </c>
    </row>
    <row r="218" spans="1:16" x14ac:dyDescent="0.25">
      <c r="A218" s="28">
        <v>42128.437581018516</v>
      </c>
      <c r="B218">
        <v>1</v>
      </c>
      <c r="C218">
        <v>48</v>
      </c>
      <c r="D218">
        <v>24</v>
      </c>
      <c r="E218">
        <v>2</v>
      </c>
      <c r="F218">
        <v>2.7197265625</v>
      </c>
      <c r="G218">
        <v>2.7197265625</v>
      </c>
      <c r="H218">
        <v>6.1245454559205843</v>
      </c>
      <c r="I218">
        <v>4.2154276098047676</v>
      </c>
      <c r="J218">
        <v>1.7854716127116648</v>
      </c>
      <c r="K218">
        <v>8.4211021887657216E-3</v>
      </c>
      <c r="L218">
        <v>93.875454544079417</v>
      </c>
      <c r="M218">
        <v>732041.94</v>
      </c>
      <c r="N218">
        <v>11220550.220000001</v>
      </c>
      <c r="O218">
        <v>11952592.16</v>
      </c>
      <c r="P218">
        <v>516599.796875</v>
      </c>
    </row>
    <row r="219" spans="1:16" x14ac:dyDescent="0.25">
      <c r="A219" s="28">
        <v>42128.437581018516</v>
      </c>
      <c r="B219">
        <v>2</v>
      </c>
      <c r="C219">
        <v>48</v>
      </c>
      <c r="D219">
        <v>24</v>
      </c>
      <c r="E219">
        <v>2</v>
      </c>
      <c r="F219">
        <v>3.4091796875</v>
      </c>
      <c r="G219">
        <v>3.4091796875</v>
      </c>
      <c r="H219">
        <v>7.9730985564044543</v>
      </c>
      <c r="I219">
        <v>6.1823226346448523</v>
      </c>
      <c r="J219">
        <v>1.7031348781016602</v>
      </c>
      <c r="K219">
        <v>7.8926592853565871E-3</v>
      </c>
      <c r="L219">
        <v>92.026901443595548</v>
      </c>
      <c r="M219">
        <v>953812.86</v>
      </c>
      <c r="N219">
        <v>11009075.26</v>
      </c>
      <c r="O219">
        <v>11962888.119999999</v>
      </c>
      <c r="P219">
        <v>516599.796875</v>
      </c>
    </row>
    <row r="220" spans="1:16" x14ac:dyDescent="0.25">
      <c r="A220" s="28">
        <v>42128.437581018516</v>
      </c>
      <c r="B220">
        <v>3</v>
      </c>
      <c r="C220">
        <v>48</v>
      </c>
      <c r="D220">
        <v>24</v>
      </c>
      <c r="E220">
        <v>2</v>
      </c>
      <c r="F220">
        <v>1.9091796875</v>
      </c>
      <c r="G220">
        <v>1.9091796875</v>
      </c>
      <c r="H220">
        <v>8.1852564043615956</v>
      </c>
      <c r="I220">
        <v>6.5902870578510004</v>
      </c>
      <c r="J220">
        <v>1.4911402159843137</v>
      </c>
      <c r="K220">
        <v>1.2709032763708085E-2</v>
      </c>
      <c r="L220">
        <v>91.814743595638404</v>
      </c>
      <c r="M220">
        <v>978305.97</v>
      </c>
      <c r="N220">
        <v>10973744.42</v>
      </c>
      <c r="O220">
        <v>11952050.390000001</v>
      </c>
      <c r="P220">
        <v>516599.796875</v>
      </c>
    </row>
    <row r="221" spans="1:16" x14ac:dyDescent="0.25">
      <c r="A221" s="28">
        <v>42128.437581018516</v>
      </c>
      <c r="B221">
        <v>4</v>
      </c>
      <c r="C221">
        <v>48</v>
      </c>
      <c r="D221">
        <v>24</v>
      </c>
      <c r="E221">
        <v>2</v>
      </c>
      <c r="F221">
        <v>3.08984375</v>
      </c>
      <c r="G221">
        <v>3.08984375</v>
      </c>
      <c r="H221">
        <v>3.6014608496404916</v>
      </c>
      <c r="I221">
        <v>2.3253089248328975</v>
      </c>
      <c r="J221">
        <v>1.238541792851052</v>
      </c>
      <c r="K221">
        <v>1.6217595737141776E-2</v>
      </c>
      <c r="L221">
        <v>96.398539150359511</v>
      </c>
      <c r="M221">
        <v>431484.33</v>
      </c>
      <c r="N221">
        <v>11549329.789999999</v>
      </c>
      <c r="O221">
        <v>11980814.119999999</v>
      </c>
      <c r="P221">
        <v>451959.83203125</v>
      </c>
    </row>
    <row r="222" spans="1:16" x14ac:dyDescent="0.25">
      <c r="A222" s="28">
        <v>42128.448009259257</v>
      </c>
      <c r="B222">
        <v>1</v>
      </c>
      <c r="C222">
        <v>48</v>
      </c>
      <c r="D222">
        <v>24</v>
      </c>
      <c r="E222">
        <v>2</v>
      </c>
      <c r="F222">
        <v>3.3994140625</v>
      </c>
      <c r="G222">
        <v>3.3994140625</v>
      </c>
      <c r="H222">
        <v>6.1205695230612136</v>
      </c>
      <c r="I222">
        <v>4.2086756621915296</v>
      </c>
      <c r="J222">
        <v>1.7886315006464319</v>
      </c>
      <c r="K222">
        <v>8.4934416711038383E-3</v>
      </c>
      <c r="L222">
        <v>93.879430476938794</v>
      </c>
      <c r="M222">
        <v>734199.55</v>
      </c>
      <c r="N222">
        <v>11261408.82</v>
      </c>
      <c r="O222">
        <v>11995608.369999999</v>
      </c>
      <c r="P222">
        <v>516599.796875</v>
      </c>
    </row>
    <row r="223" spans="1:16" x14ac:dyDescent="0.25">
      <c r="A223" s="28">
        <v>42128.448009259257</v>
      </c>
      <c r="B223">
        <v>2</v>
      </c>
      <c r="C223">
        <v>48</v>
      </c>
      <c r="D223">
        <v>24</v>
      </c>
      <c r="E223">
        <v>2</v>
      </c>
      <c r="F223">
        <v>3</v>
      </c>
      <c r="G223">
        <v>3</v>
      </c>
      <c r="H223">
        <v>7.9610537262863437</v>
      </c>
      <c r="I223">
        <v>6.167244244179992</v>
      </c>
      <c r="J223">
        <v>1.7064433827609402</v>
      </c>
      <c r="K223">
        <v>7.9228293086883034E-3</v>
      </c>
      <c r="L223">
        <v>92.038946273713663</v>
      </c>
      <c r="M223">
        <v>955799.2</v>
      </c>
      <c r="N223">
        <v>11050139.119999999</v>
      </c>
      <c r="O223">
        <v>12005938.32</v>
      </c>
      <c r="P223">
        <v>516599.796875</v>
      </c>
    </row>
    <row r="224" spans="1:16" x14ac:dyDescent="0.25">
      <c r="A224" s="28">
        <v>42128.448009259257</v>
      </c>
      <c r="B224">
        <v>3</v>
      </c>
      <c r="C224">
        <v>48</v>
      </c>
      <c r="D224">
        <v>24</v>
      </c>
      <c r="E224">
        <v>2</v>
      </c>
      <c r="F224">
        <v>2.4697265625</v>
      </c>
      <c r="G224">
        <v>2.4697265625</v>
      </c>
      <c r="H224">
        <v>8.1677387188993489</v>
      </c>
      <c r="I224">
        <v>6.5744342540096969</v>
      </c>
      <c r="J224">
        <v>1.4897485103988419</v>
      </c>
      <c r="K224">
        <v>1.2701404482431636E-2</v>
      </c>
      <c r="L224">
        <v>91.832261281100656</v>
      </c>
      <c r="M224">
        <v>979724.46</v>
      </c>
      <c r="N224">
        <v>11015326.970000001</v>
      </c>
      <c r="O224">
        <v>11995051.43</v>
      </c>
      <c r="P224">
        <v>516599.796875</v>
      </c>
    </row>
    <row r="225" spans="1:16" x14ac:dyDescent="0.25">
      <c r="A225" s="28">
        <v>42128.448009259257</v>
      </c>
      <c r="B225">
        <v>4</v>
      </c>
      <c r="C225">
        <v>48</v>
      </c>
      <c r="D225">
        <v>24</v>
      </c>
      <c r="E225">
        <v>2</v>
      </c>
      <c r="F225">
        <v>3.109375</v>
      </c>
      <c r="G225">
        <v>3.109375</v>
      </c>
      <c r="H225">
        <v>3.6056990277427658</v>
      </c>
      <c r="I225">
        <v>2.3247719110959348</v>
      </c>
      <c r="J225">
        <v>1.2433813185618547</v>
      </c>
      <c r="K225">
        <v>1.6299855639735163E-2</v>
      </c>
      <c r="L225">
        <v>96.394300972257241</v>
      </c>
      <c r="M225">
        <v>433543.8</v>
      </c>
      <c r="N225">
        <v>11590305.02</v>
      </c>
      <c r="O225">
        <v>12023848.82</v>
      </c>
      <c r="P225">
        <v>451959.83203125</v>
      </c>
    </row>
    <row r="226" spans="1:16" x14ac:dyDescent="0.25">
      <c r="A226" s="28">
        <v>42128.458437499998</v>
      </c>
      <c r="B226">
        <v>1</v>
      </c>
      <c r="C226">
        <v>48</v>
      </c>
      <c r="D226">
        <v>24</v>
      </c>
      <c r="E226">
        <v>2</v>
      </c>
      <c r="F226">
        <v>3.0390625</v>
      </c>
      <c r="G226">
        <v>3.0390625</v>
      </c>
      <c r="H226">
        <v>6.1182405372021771</v>
      </c>
      <c r="I226">
        <v>4.2032523771703652</v>
      </c>
      <c r="J226">
        <v>1.7920836372521296</v>
      </c>
      <c r="K226">
        <v>8.5635337459174614E-3</v>
      </c>
      <c r="L226">
        <v>93.881759462797817</v>
      </c>
      <c r="M226">
        <v>736550.81</v>
      </c>
      <c r="N226">
        <v>11302054.17</v>
      </c>
      <c r="O226">
        <v>12038604.98</v>
      </c>
      <c r="P226">
        <v>516599.796875</v>
      </c>
    </row>
    <row r="227" spans="1:16" x14ac:dyDescent="0.25">
      <c r="A227" s="28">
        <v>42128.458437499998</v>
      </c>
      <c r="B227">
        <v>2</v>
      </c>
      <c r="C227">
        <v>48</v>
      </c>
      <c r="D227">
        <v>24</v>
      </c>
      <c r="E227">
        <v>2</v>
      </c>
      <c r="F227">
        <v>2.8994140625</v>
      </c>
      <c r="G227">
        <v>2.8994140625</v>
      </c>
      <c r="H227">
        <v>7.9503202755480302</v>
      </c>
      <c r="I227">
        <v>6.1537115559281288</v>
      </c>
      <c r="J227">
        <v>1.7095089851064262</v>
      </c>
      <c r="K227">
        <v>7.9627408166705604E-3</v>
      </c>
      <c r="L227">
        <v>92.049679724451963</v>
      </c>
      <c r="M227">
        <v>957933.45</v>
      </c>
      <c r="N227">
        <v>11091058.5</v>
      </c>
      <c r="O227">
        <v>12048991.949999999</v>
      </c>
      <c r="P227">
        <v>516599.796875</v>
      </c>
    </row>
    <row r="228" spans="1:16" x14ac:dyDescent="0.25">
      <c r="A228" s="28">
        <v>42128.458437499998</v>
      </c>
      <c r="B228">
        <v>3</v>
      </c>
      <c r="C228">
        <v>48</v>
      </c>
      <c r="D228">
        <v>24</v>
      </c>
      <c r="E228">
        <v>2</v>
      </c>
      <c r="F228">
        <v>2.2197265625</v>
      </c>
      <c r="G228">
        <v>2.2197265625</v>
      </c>
      <c r="H228">
        <v>8.1514726499045729</v>
      </c>
      <c r="I228">
        <v>6.5598629990113189</v>
      </c>
      <c r="J228">
        <v>1.4883073590778817</v>
      </c>
      <c r="K228">
        <v>1.2732441921346304E-2</v>
      </c>
      <c r="L228">
        <v>91.848527350095424</v>
      </c>
      <c r="M228">
        <v>981279.81</v>
      </c>
      <c r="N228">
        <v>11056788.060000001</v>
      </c>
      <c r="O228">
        <v>12038067.869999999</v>
      </c>
      <c r="P228">
        <v>516599.796875</v>
      </c>
    </row>
    <row r="229" spans="1:16" x14ac:dyDescent="0.25">
      <c r="A229" s="28">
        <v>42128.458437499998</v>
      </c>
      <c r="B229">
        <v>4</v>
      </c>
      <c r="C229">
        <v>48</v>
      </c>
      <c r="D229">
        <v>24</v>
      </c>
      <c r="E229">
        <v>2</v>
      </c>
      <c r="F229">
        <v>2.76953125</v>
      </c>
      <c r="G229">
        <v>2.76953125</v>
      </c>
      <c r="H229">
        <v>3.6089312561542792</v>
      </c>
      <c r="I229">
        <v>2.3233319878995018</v>
      </c>
      <c r="J229">
        <v>1.24812904544221</v>
      </c>
      <c r="K229">
        <v>1.6381687816841413E-2</v>
      </c>
      <c r="L229">
        <v>96.391068743845722</v>
      </c>
      <c r="M229">
        <v>435485.71</v>
      </c>
      <c r="N229">
        <v>11631402.77</v>
      </c>
      <c r="O229">
        <v>12066888.48</v>
      </c>
      <c r="P229">
        <v>451959.83203125</v>
      </c>
    </row>
    <row r="230" spans="1:16" x14ac:dyDescent="0.25">
      <c r="A230" s="28">
        <v>42128.468877314815</v>
      </c>
      <c r="B230">
        <v>1</v>
      </c>
      <c r="C230">
        <v>48</v>
      </c>
      <c r="D230">
        <v>24</v>
      </c>
      <c r="E230">
        <v>2</v>
      </c>
      <c r="F230">
        <v>3.7392578125</v>
      </c>
      <c r="G230">
        <v>3.7392578125</v>
      </c>
      <c r="H230">
        <v>6.1162992623101582</v>
      </c>
      <c r="I230">
        <v>4.1980892620187484</v>
      </c>
      <c r="J230">
        <v>1.7956489072551243</v>
      </c>
      <c r="K230">
        <v>8.6442968346331778E-3</v>
      </c>
      <c r="L230">
        <v>93.883700737689836</v>
      </c>
      <c r="M230">
        <v>738947.26</v>
      </c>
      <c r="N230">
        <v>11342660.07</v>
      </c>
      <c r="O230">
        <v>12081607.33</v>
      </c>
      <c r="P230">
        <v>516599.796875</v>
      </c>
    </row>
    <row r="231" spans="1:16" x14ac:dyDescent="0.25">
      <c r="A231" s="28">
        <v>42128.468877314815</v>
      </c>
      <c r="B231">
        <v>2</v>
      </c>
      <c r="C231">
        <v>48</v>
      </c>
      <c r="D231">
        <v>24</v>
      </c>
      <c r="E231">
        <v>2</v>
      </c>
      <c r="F231">
        <v>2.9697265625</v>
      </c>
      <c r="G231">
        <v>2.9697265625</v>
      </c>
      <c r="H231">
        <v>7.9389566786261918</v>
      </c>
      <c r="I231">
        <v>6.1392566210825992</v>
      </c>
      <c r="J231">
        <v>1.7128624659288365</v>
      </c>
      <c r="K231">
        <v>7.996504984650335E-3</v>
      </c>
      <c r="L231">
        <v>92.061043321373802</v>
      </c>
      <c r="M231">
        <v>959981.24</v>
      </c>
      <c r="N231">
        <v>11132051.49</v>
      </c>
      <c r="O231">
        <v>12092032.73</v>
      </c>
      <c r="P231">
        <v>516599.796875</v>
      </c>
    </row>
    <row r="232" spans="1:16" x14ac:dyDescent="0.25">
      <c r="A232" s="28">
        <v>42128.468877314815</v>
      </c>
      <c r="B232">
        <v>3</v>
      </c>
      <c r="C232">
        <v>48</v>
      </c>
      <c r="D232">
        <v>24</v>
      </c>
      <c r="E232">
        <v>2</v>
      </c>
      <c r="F232">
        <v>2.2890625</v>
      </c>
      <c r="G232">
        <v>2.2890625</v>
      </c>
      <c r="H232">
        <v>8.135022387108922</v>
      </c>
      <c r="I232">
        <v>6.5446745585037576</v>
      </c>
      <c r="J232">
        <v>1.4872852257775369</v>
      </c>
      <c r="K232">
        <v>1.2726620041964778E-2</v>
      </c>
      <c r="L232">
        <v>91.864977612891082</v>
      </c>
      <c r="M232">
        <v>982796.55</v>
      </c>
      <c r="N232">
        <v>11098258.710000001</v>
      </c>
      <c r="O232">
        <v>12081055.26</v>
      </c>
      <c r="P232">
        <v>516599.796875</v>
      </c>
    </row>
    <row r="233" spans="1:16" x14ac:dyDescent="0.25">
      <c r="A233" s="28">
        <v>42128.468877314815</v>
      </c>
      <c r="B233">
        <v>4</v>
      </c>
      <c r="C233">
        <v>48</v>
      </c>
      <c r="D233">
        <v>24</v>
      </c>
      <c r="E233">
        <v>2</v>
      </c>
      <c r="F233">
        <v>4.2197265625</v>
      </c>
      <c r="G233">
        <v>4.2197265625</v>
      </c>
      <c r="H233">
        <v>3.6143358343546379</v>
      </c>
      <c r="I233">
        <v>2.3236486419253239</v>
      </c>
      <c r="J233">
        <v>1.2532687768898876</v>
      </c>
      <c r="K233">
        <v>1.6480126065247586E-2</v>
      </c>
      <c r="L233">
        <v>96.385664165645366</v>
      </c>
      <c r="M233">
        <v>437693.16</v>
      </c>
      <c r="N233">
        <v>11672226.34</v>
      </c>
      <c r="O233">
        <v>12109919.5</v>
      </c>
      <c r="P233">
        <v>451959.83203125</v>
      </c>
    </row>
    <row r="234" spans="1:16" x14ac:dyDescent="0.25">
      <c r="A234" s="28">
        <v>42128.479305555556</v>
      </c>
      <c r="B234">
        <v>1</v>
      </c>
      <c r="C234">
        <v>48</v>
      </c>
      <c r="D234">
        <v>24</v>
      </c>
      <c r="E234">
        <v>2</v>
      </c>
      <c r="F234">
        <v>3.029296875</v>
      </c>
      <c r="G234">
        <v>3.029296875</v>
      </c>
      <c r="H234">
        <v>6.115177357033927</v>
      </c>
      <c r="I234">
        <v>4.1933492740169731</v>
      </c>
      <c r="J234">
        <v>1.7995432928237867</v>
      </c>
      <c r="K234">
        <v>8.7160999741838358E-3</v>
      </c>
      <c r="L234">
        <v>93.884822642966071</v>
      </c>
      <c r="M234">
        <v>741439.21</v>
      </c>
      <c r="N234">
        <v>11383134.890000001</v>
      </c>
      <c r="O234">
        <v>12124574.1</v>
      </c>
      <c r="P234">
        <v>516599.796875</v>
      </c>
    </row>
    <row r="235" spans="1:16" x14ac:dyDescent="0.25">
      <c r="A235" s="28">
        <v>42128.479305555556</v>
      </c>
      <c r="B235">
        <v>2</v>
      </c>
      <c r="C235">
        <v>48</v>
      </c>
      <c r="D235">
        <v>24</v>
      </c>
      <c r="E235">
        <v>2</v>
      </c>
      <c r="F235">
        <v>2.919921875</v>
      </c>
      <c r="G235">
        <v>2.919921875</v>
      </c>
      <c r="H235">
        <v>7.9278024986137119</v>
      </c>
      <c r="I235">
        <v>6.1250375098738195</v>
      </c>
      <c r="J235">
        <v>1.7161841225512089</v>
      </c>
      <c r="K235">
        <v>8.0338216516216178E-3</v>
      </c>
      <c r="L235">
        <v>92.072197501386285</v>
      </c>
      <c r="M235">
        <v>962044.5</v>
      </c>
      <c r="N235">
        <v>11173026.98</v>
      </c>
      <c r="O235">
        <v>12135071.48</v>
      </c>
      <c r="P235">
        <v>516599.796875</v>
      </c>
    </row>
    <row r="236" spans="1:16" x14ac:dyDescent="0.25">
      <c r="A236" s="28">
        <v>42128.479305555556</v>
      </c>
      <c r="B236">
        <v>3</v>
      </c>
      <c r="C236">
        <v>48</v>
      </c>
      <c r="D236">
        <v>24</v>
      </c>
      <c r="E236">
        <v>2</v>
      </c>
      <c r="F236">
        <v>2.3896484375</v>
      </c>
      <c r="G236">
        <v>2.3896484375</v>
      </c>
      <c r="H236">
        <v>8.1178741299932611</v>
      </c>
      <c r="I236">
        <v>6.5293343172701377</v>
      </c>
      <c r="J236">
        <v>1.485762538812117</v>
      </c>
      <c r="K236">
        <v>1.2721304238648026E-2</v>
      </c>
      <c r="L236">
        <v>91.882125870006732</v>
      </c>
      <c r="M236">
        <v>984216.85</v>
      </c>
      <c r="N236">
        <v>11139854.48</v>
      </c>
      <c r="O236">
        <v>12124071.33</v>
      </c>
      <c r="P236">
        <v>516599.796875</v>
      </c>
    </row>
    <row r="237" spans="1:16" x14ac:dyDescent="0.25">
      <c r="A237" s="28">
        <v>42128.479305555556</v>
      </c>
      <c r="B237">
        <v>4</v>
      </c>
      <c r="C237">
        <v>48</v>
      </c>
      <c r="D237">
        <v>24</v>
      </c>
      <c r="E237">
        <v>2</v>
      </c>
      <c r="F237">
        <v>3.0693359375</v>
      </c>
      <c r="G237">
        <v>3.0693359375</v>
      </c>
      <c r="H237">
        <v>3.6186559570877117</v>
      </c>
      <c r="I237">
        <v>2.3230305597470515</v>
      </c>
      <c r="J237">
        <v>1.2582701152705982</v>
      </c>
      <c r="K237">
        <v>1.6557868229254636E-2</v>
      </c>
      <c r="L237">
        <v>96.381344042912289</v>
      </c>
      <c r="M237">
        <v>439773.57</v>
      </c>
      <c r="N237">
        <v>11713179.77</v>
      </c>
      <c r="O237">
        <v>12152953.34</v>
      </c>
      <c r="P237">
        <v>451959.83203125</v>
      </c>
    </row>
    <row r="238" spans="1:16" x14ac:dyDescent="0.25">
      <c r="A238" s="28">
        <v>42128.489733796298</v>
      </c>
      <c r="B238">
        <v>1</v>
      </c>
      <c r="C238">
        <v>48</v>
      </c>
      <c r="D238">
        <v>24</v>
      </c>
      <c r="E238">
        <v>2</v>
      </c>
      <c r="F238">
        <v>3.6796875</v>
      </c>
      <c r="G238">
        <v>3.6796875</v>
      </c>
      <c r="H238">
        <v>6.1154038203582139</v>
      </c>
      <c r="I238">
        <v>4.1901182104153314</v>
      </c>
      <c r="J238">
        <v>1.8032858587704754</v>
      </c>
      <c r="K238">
        <v>8.7804099576170649E-3</v>
      </c>
      <c r="L238">
        <v>93.88459617964179</v>
      </c>
      <c r="M238">
        <v>744094.28</v>
      </c>
      <c r="N238">
        <v>11423446.93</v>
      </c>
      <c r="O238">
        <v>12167541.210000001</v>
      </c>
      <c r="P238">
        <v>516599.796875</v>
      </c>
    </row>
    <row r="239" spans="1:16" x14ac:dyDescent="0.25">
      <c r="A239" s="28">
        <v>42128.489733796298</v>
      </c>
      <c r="B239">
        <v>2</v>
      </c>
      <c r="C239">
        <v>48</v>
      </c>
      <c r="D239">
        <v>24</v>
      </c>
      <c r="E239">
        <v>2</v>
      </c>
      <c r="F239">
        <v>4.1796875</v>
      </c>
      <c r="G239">
        <v>4.1796875</v>
      </c>
      <c r="H239">
        <v>7.9209171258980202</v>
      </c>
      <c r="I239">
        <v>6.1152065034514003</v>
      </c>
      <c r="J239">
        <v>1.7193776480829384</v>
      </c>
      <c r="K239">
        <v>8.0729310925311149E-3</v>
      </c>
      <c r="L239">
        <v>92.079082874101985</v>
      </c>
      <c r="M239">
        <v>964617.58</v>
      </c>
      <c r="N239">
        <v>11213487.109999999</v>
      </c>
      <c r="O239">
        <v>12178104.689999999</v>
      </c>
      <c r="P239">
        <v>516599.796875</v>
      </c>
    </row>
    <row r="240" spans="1:16" x14ac:dyDescent="0.25">
      <c r="A240" s="28">
        <v>42128.489733796298</v>
      </c>
      <c r="B240">
        <v>3</v>
      </c>
      <c r="C240">
        <v>48</v>
      </c>
      <c r="D240">
        <v>24</v>
      </c>
      <c r="E240">
        <v>2</v>
      </c>
      <c r="F240">
        <v>2.599609375</v>
      </c>
      <c r="G240">
        <v>2.599609375</v>
      </c>
      <c r="H240">
        <v>8.1005550920304472</v>
      </c>
      <c r="I240">
        <v>6.513829930293662</v>
      </c>
      <c r="J240">
        <v>1.484218185519856</v>
      </c>
      <c r="K240">
        <v>1.2727710513848968E-2</v>
      </c>
      <c r="L240">
        <v>91.899444907969553</v>
      </c>
      <c r="M240">
        <v>985600.56</v>
      </c>
      <c r="N240">
        <v>11181473.779999999</v>
      </c>
      <c r="O240">
        <v>12167074.34</v>
      </c>
      <c r="P240">
        <v>516599.796875</v>
      </c>
    </row>
    <row r="241" spans="1:16" x14ac:dyDescent="0.25">
      <c r="A241" s="28">
        <v>42128.489733796298</v>
      </c>
      <c r="B241">
        <v>4</v>
      </c>
      <c r="C241">
        <v>48</v>
      </c>
      <c r="D241">
        <v>24</v>
      </c>
      <c r="E241">
        <v>2</v>
      </c>
      <c r="F241">
        <v>3.0791015625</v>
      </c>
      <c r="G241">
        <v>3.0791015625</v>
      </c>
      <c r="H241">
        <v>3.6236083002008659</v>
      </c>
      <c r="I241">
        <v>2.3231984742612477</v>
      </c>
      <c r="J241">
        <v>1.263102026262646</v>
      </c>
      <c r="K241">
        <v>1.6636799969356447E-2</v>
      </c>
      <c r="L241">
        <v>96.376391699799129</v>
      </c>
      <c r="M241">
        <v>441934.37</v>
      </c>
      <c r="N241">
        <v>11754040.84</v>
      </c>
      <c r="O241">
        <v>12195975.210000001</v>
      </c>
      <c r="P241">
        <v>451959.83203125</v>
      </c>
    </row>
    <row r="242" spans="1:16" x14ac:dyDescent="0.25">
      <c r="A242" s="28">
        <v>42128.500173611108</v>
      </c>
      <c r="B242">
        <v>1</v>
      </c>
      <c r="C242">
        <v>48</v>
      </c>
      <c r="D242">
        <v>24</v>
      </c>
      <c r="E242">
        <v>2</v>
      </c>
      <c r="F242">
        <v>3.5390625</v>
      </c>
      <c r="G242">
        <v>3.5390625</v>
      </c>
      <c r="H242">
        <v>6.1138298260050652</v>
      </c>
      <c r="I242">
        <v>4.1854508810567461</v>
      </c>
      <c r="J242">
        <v>1.8067087559691912</v>
      </c>
      <c r="K242">
        <v>8.8673434341652556E-3</v>
      </c>
      <c r="L242">
        <v>93.886170173994941</v>
      </c>
      <c r="M242">
        <v>746531.28</v>
      </c>
      <c r="N242">
        <v>11464002.890000001</v>
      </c>
      <c r="O242">
        <v>12210534.17</v>
      </c>
      <c r="P242">
        <v>516599.796875</v>
      </c>
    </row>
    <row r="243" spans="1:16" x14ac:dyDescent="0.25">
      <c r="A243" s="28">
        <v>42128.500173611108</v>
      </c>
      <c r="B243">
        <v>2</v>
      </c>
      <c r="C243">
        <v>48</v>
      </c>
      <c r="D243">
        <v>24</v>
      </c>
      <c r="E243">
        <v>2</v>
      </c>
      <c r="F243">
        <v>4.0595703125</v>
      </c>
      <c r="G243">
        <v>4.0595703125</v>
      </c>
      <c r="H243">
        <v>7.9178836336096907</v>
      </c>
      <c r="I243">
        <v>6.1095189957552876</v>
      </c>
      <c r="J243">
        <v>1.7222921772528714</v>
      </c>
      <c r="K243">
        <v>8.1343443706449834E-3</v>
      </c>
      <c r="L243">
        <v>92.082116366390309</v>
      </c>
      <c r="M243">
        <v>967656.02</v>
      </c>
      <c r="N243">
        <v>11253488.73</v>
      </c>
      <c r="O243">
        <v>12221144.75</v>
      </c>
      <c r="P243">
        <v>516599.796875</v>
      </c>
    </row>
    <row r="244" spans="1:16" x14ac:dyDescent="0.25">
      <c r="A244" s="28">
        <v>42128.500173611108</v>
      </c>
      <c r="B244">
        <v>3</v>
      </c>
      <c r="C244">
        <v>48</v>
      </c>
      <c r="D244">
        <v>24</v>
      </c>
      <c r="E244">
        <v>2</v>
      </c>
      <c r="F244">
        <v>2.5390625</v>
      </c>
      <c r="G244">
        <v>2.5390625</v>
      </c>
      <c r="H244">
        <v>8.0846078527154006</v>
      </c>
      <c r="I244">
        <v>6.4997400260122795</v>
      </c>
      <c r="J244">
        <v>1.4826389889342451</v>
      </c>
      <c r="K244">
        <v>1.2718091229124144E-2</v>
      </c>
      <c r="L244">
        <v>91.915392147284592</v>
      </c>
      <c r="M244">
        <v>987137.65</v>
      </c>
      <c r="N244">
        <v>11222949.32</v>
      </c>
      <c r="O244">
        <v>12210086.970000001</v>
      </c>
      <c r="P244">
        <v>516599.796875</v>
      </c>
    </row>
    <row r="245" spans="1:16" x14ac:dyDescent="0.25">
      <c r="A245" s="28">
        <v>42128.500173611108</v>
      </c>
      <c r="B245">
        <v>4</v>
      </c>
      <c r="C245">
        <v>48</v>
      </c>
      <c r="D245">
        <v>24</v>
      </c>
      <c r="E245">
        <v>2</v>
      </c>
      <c r="F245">
        <v>2.849609375</v>
      </c>
      <c r="G245">
        <v>2.849609375</v>
      </c>
      <c r="H245">
        <v>3.6278777759726859</v>
      </c>
      <c r="I245">
        <v>2.3229792205991728</v>
      </c>
      <c r="J245">
        <v>1.2676729452979905</v>
      </c>
      <c r="K245">
        <v>1.6720129047387147E-2</v>
      </c>
      <c r="L245">
        <v>96.372122224027308</v>
      </c>
      <c r="M245">
        <v>444016.7</v>
      </c>
      <c r="N245">
        <v>11795003.67</v>
      </c>
      <c r="O245">
        <v>12239020.369999999</v>
      </c>
      <c r="P245">
        <v>451959.83203125</v>
      </c>
    </row>
    <row r="246" spans="1:16" x14ac:dyDescent="0.25">
      <c r="A246" s="28">
        <v>42128.51835648148</v>
      </c>
      <c r="B246">
        <v>1</v>
      </c>
      <c r="C246">
        <v>48</v>
      </c>
      <c r="D246">
        <v>24</v>
      </c>
      <c r="E246">
        <v>2</v>
      </c>
      <c r="F246">
        <v>3.1591796875</v>
      </c>
      <c r="G246">
        <v>3.1591796875</v>
      </c>
      <c r="H246">
        <v>5.3845489247396285</v>
      </c>
      <c r="I246">
        <v>2.4696036695518306</v>
      </c>
      <c r="J246">
        <v>2.8774734653911205</v>
      </c>
      <c r="K246">
        <v>2.8504741408651304E-2</v>
      </c>
      <c r="L246">
        <v>94.615451075260367</v>
      </c>
      <c r="M246">
        <v>1645.32</v>
      </c>
      <c r="N246">
        <v>28911</v>
      </c>
      <c r="O246">
        <v>30556.32</v>
      </c>
      <c r="P246">
        <v>516599.796875</v>
      </c>
    </row>
    <row r="247" spans="1:16" x14ac:dyDescent="0.25">
      <c r="A247" s="28">
        <v>42128.51835648148</v>
      </c>
      <c r="B247">
        <v>2</v>
      </c>
      <c r="C247">
        <v>48</v>
      </c>
      <c r="D247">
        <v>24</v>
      </c>
      <c r="E247">
        <v>2</v>
      </c>
      <c r="F247">
        <v>2.75</v>
      </c>
      <c r="G247">
        <v>2.75</v>
      </c>
      <c r="H247">
        <v>5.7131595847123551</v>
      </c>
      <c r="I247">
        <v>3.1093977368135004</v>
      </c>
      <c r="J247">
        <v>2.5909050473331554</v>
      </c>
      <c r="K247">
        <v>1.9707267533786439E-2</v>
      </c>
      <c r="L247">
        <v>94.286840415287642</v>
      </c>
      <c r="M247">
        <v>1759.7</v>
      </c>
      <c r="N247">
        <v>29041.119999999999</v>
      </c>
      <c r="O247">
        <v>30800.82</v>
      </c>
      <c r="P247">
        <v>516599.796875</v>
      </c>
    </row>
    <row r="248" spans="1:16" x14ac:dyDescent="0.25">
      <c r="A248" s="28">
        <v>42128.51835648148</v>
      </c>
      <c r="B248">
        <v>3</v>
      </c>
      <c r="C248">
        <v>48</v>
      </c>
      <c r="D248">
        <v>24</v>
      </c>
      <c r="E248">
        <v>2</v>
      </c>
      <c r="F248">
        <v>2.189453125</v>
      </c>
      <c r="G248">
        <v>2.189453125</v>
      </c>
      <c r="H248">
        <v>2.9854226834721378</v>
      </c>
      <c r="I248">
        <v>2.026538902469452</v>
      </c>
      <c r="J248">
        <v>0.94662050543612086</v>
      </c>
      <c r="K248">
        <v>1.6698928431067184E-2</v>
      </c>
      <c r="L248">
        <v>97.014577316527863</v>
      </c>
      <c r="M248">
        <v>915.35</v>
      </c>
      <c r="N248">
        <v>29745.3</v>
      </c>
      <c r="O248">
        <v>30660.65</v>
      </c>
      <c r="P248">
        <v>516599.796875</v>
      </c>
    </row>
    <row r="249" spans="1:16" x14ac:dyDescent="0.25">
      <c r="A249" s="28">
        <v>42128.51835648148</v>
      </c>
      <c r="B249">
        <v>4</v>
      </c>
      <c r="C249">
        <v>48</v>
      </c>
      <c r="D249">
        <v>24</v>
      </c>
      <c r="E249">
        <v>2</v>
      </c>
      <c r="F249">
        <v>2.609375</v>
      </c>
      <c r="G249">
        <v>2.609375</v>
      </c>
      <c r="H249">
        <v>4.3063459236725992</v>
      </c>
      <c r="I249">
        <v>1.7238061369045801</v>
      </c>
      <c r="J249">
        <v>2.5672940706842109</v>
      </c>
      <c r="K249">
        <v>3.7642940778357198E-2</v>
      </c>
      <c r="L249">
        <v>95.693654076327405</v>
      </c>
      <c r="M249">
        <v>1324.75</v>
      </c>
      <c r="N249">
        <v>29437.99</v>
      </c>
      <c r="O249">
        <v>30762.74</v>
      </c>
      <c r="P249">
        <v>451959.83203125</v>
      </c>
    </row>
    <row r="250" spans="1:16" x14ac:dyDescent="0.25">
      <c r="A250" s="28">
        <v>42128.525925925926</v>
      </c>
      <c r="B250">
        <v>1</v>
      </c>
      <c r="C250">
        <v>48</v>
      </c>
      <c r="D250">
        <v>24</v>
      </c>
      <c r="E250">
        <v>2</v>
      </c>
      <c r="F250">
        <v>3.9697265625</v>
      </c>
      <c r="G250">
        <v>3.9697265625</v>
      </c>
      <c r="H250">
        <v>5.9841763361319478</v>
      </c>
      <c r="I250">
        <v>3.0818288977137374</v>
      </c>
      <c r="J250">
        <v>2.8658405124980497</v>
      </c>
      <c r="K250">
        <v>2.8752247966878908E-2</v>
      </c>
      <c r="L250">
        <v>94.015823663868048</v>
      </c>
      <c r="M250">
        <v>3194.78</v>
      </c>
      <c r="N250">
        <v>50192.35</v>
      </c>
      <c r="O250">
        <v>53387.13</v>
      </c>
      <c r="P250">
        <v>516599.796875</v>
      </c>
    </row>
    <row r="251" spans="1:16" x14ac:dyDescent="0.25">
      <c r="A251" s="28">
        <v>42128.525925925926</v>
      </c>
      <c r="B251">
        <v>2</v>
      </c>
      <c r="C251">
        <v>48</v>
      </c>
      <c r="D251">
        <v>24</v>
      </c>
      <c r="E251">
        <v>2</v>
      </c>
      <c r="F251">
        <v>2.919921875</v>
      </c>
      <c r="G251">
        <v>2.919921875</v>
      </c>
      <c r="H251">
        <v>5.2020140194325339</v>
      </c>
      <c r="I251">
        <v>2.6101648618338174</v>
      </c>
      <c r="J251">
        <v>2.5797380612072454</v>
      </c>
      <c r="K251">
        <v>1.8371601603061984E-2</v>
      </c>
      <c r="L251">
        <v>94.797985980567461</v>
      </c>
      <c r="M251">
        <v>2791.91</v>
      </c>
      <c r="N251">
        <v>50877.88</v>
      </c>
      <c r="O251">
        <v>53669.79</v>
      </c>
      <c r="P251">
        <v>516599.796875</v>
      </c>
    </row>
    <row r="252" spans="1:16" x14ac:dyDescent="0.25">
      <c r="A252" s="28">
        <v>42128.525925925926</v>
      </c>
      <c r="B252">
        <v>3</v>
      </c>
      <c r="C252">
        <v>48</v>
      </c>
      <c r="D252">
        <v>24</v>
      </c>
      <c r="E252">
        <v>2</v>
      </c>
      <c r="F252">
        <v>2.5</v>
      </c>
      <c r="G252">
        <v>2.5</v>
      </c>
      <c r="H252">
        <v>3.2116033568359703</v>
      </c>
      <c r="I252">
        <v>2.230115001052329</v>
      </c>
      <c r="J252">
        <v>0.96668472261318517</v>
      </c>
      <c r="K252">
        <v>1.9121359511838982E-2</v>
      </c>
      <c r="L252">
        <v>96.788396643164035</v>
      </c>
      <c r="M252">
        <v>1718.22</v>
      </c>
      <c r="N252">
        <v>51782.16</v>
      </c>
      <c r="O252">
        <v>53500.38</v>
      </c>
      <c r="P252">
        <v>516599.796875</v>
      </c>
    </row>
    <row r="253" spans="1:16" x14ac:dyDescent="0.25">
      <c r="A253" s="28">
        <v>42128.525925925926</v>
      </c>
      <c r="B253">
        <v>4</v>
      </c>
      <c r="C253">
        <v>48</v>
      </c>
      <c r="D253">
        <v>24</v>
      </c>
      <c r="E253">
        <v>2</v>
      </c>
      <c r="F253">
        <v>2.779296875</v>
      </c>
      <c r="G253">
        <v>2.779296875</v>
      </c>
      <c r="H253">
        <v>4.3170653711219193</v>
      </c>
      <c r="I253">
        <v>1.7314019498433244</v>
      </c>
      <c r="J253">
        <v>2.5692546795214239</v>
      </c>
      <c r="K253">
        <v>4.1618535911370422E-2</v>
      </c>
      <c r="L253">
        <v>95.682934628878087</v>
      </c>
      <c r="M253">
        <v>2315.2399999999998</v>
      </c>
      <c r="N253">
        <v>51314.71</v>
      </c>
      <c r="O253">
        <v>53629.95</v>
      </c>
      <c r="P253">
        <v>451959.83203125</v>
      </c>
    </row>
    <row r="254" spans="1:16" x14ac:dyDescent="0.25">
      <c r="A254" s="28">
        <v>42128.531481481485</v>
      </c>
      <c r="B254">
        <v>1</v>
      </c>
      <c r="C254">
        <v>48</v>
      </c>
      <c r="D254">
        <v>24</v>
      </c>
      <c r="E254">
        <v>2</v>
      </c>
      <c r="F254">
        <v>2.119140625</v>
      </c>
      <c r="G254">
        <v>2.119140625</v>
      </c>
      <c r="H254">
        <v>5.0236450274689819</v>
      </c>
      <c r="I254">
        <v>2.5711685033959122</v>
      </c>
      <c r="J254">
        <v>2.4234700758441852</v>
      </c>
      <c r="K254">
        <v>2.3974929133387751E-2</v>
      </c>
      <c r="L254">
        <v>94.976354972531013</v>
      </c>
      <c r="M254">
        <v>4842.41</v>
      </c>
      <c r="N254">
        <v>91549.95</v>
      </c>
      <c r="O254">
        <v>96392.36</v>
      </c>
      <c r="P254">
        <v>516599.796875</v>
      </c>
    </row>
    <row r="255" spans="1:16" x14ac:dyDescent="0.25">
      <c r="A255" s="28">
        <v>42128.531481481485</v>
      </c>
      <c r="B255">
        <v>2</v>
      </c>
      <c r="C255">
        <v>48</v>
      </c>
      <c r="D255">
        <v>24</v>
      </c>
      <c r="E255">
        <v>2</v>
      </c>
      <c r="F255">
        <v>2.5390625</v>
      </c>
      <c r="G255">
        <v>2.5390625</v>
      </c>
      <c r="H255">
        <v>4.8392701881480589</v>
      </c>
      <c r="I255">
        <v>2.2635317721312322</v>
      </c>
      <c r="J255">
        <v>2.5643957868284675</v>
      </c>
      <c r="K255">
        <v>1.7897986440336581E-2</v>
      </c>
      <c r="L255">
        <v>95.160729811851937</v>
      </c>
      <c r="M255">
        <v>4680.29</v>
      </c>
      <c r="N255">
        <v>92034.5</v>
      </c>
      <c r="O255">
        <v>96714.79</v>
      </c>
      <c r="P255">
        <v>516599.796875</v>
      </c>
    </row>
    <row r="256" spans="1:16" x14ac:dyDescent="0.25">
      <c r="A256" s="28">
        <v>42128.531481481485</v>
      </c>
      <c r="B256">
        <v>3</v>
      </c>
      <c r="C256">
        <v>48</v>
      </c>
      <c r="D256">
        <v>24</v>
      </c>
      <c r="E256">
        <v>2</v>
      </c>
      <c r="F256">
        <v>2.279296875</v>
      </c>
      <c r="G256">
        <v>2.279296875</v>
      </c>
      <c r="H256">
        <v>3.0597635846319338</v>
      </c>
      <c r="I256">
        <v>2.0897513108084964</v>
      </c>
      <c r="J256">
        <v>0.95596373446229987</v>
      </c>
      <c r="K256">
        <v>1.6566087343996203E-2</v>
      </c>
      <c r="L256">
        <v>96.940236415368062</v>
      </c>
      <c r="M256">
        <v>2953.36</v>
      </c>
      <c r="N256">
        <v>93569.13</v>
      </c>
      <c r="O256">
        <v>96522.49</v>
      </c>
      <c r="P256">
        <v>516599.796875</v>
      </c>
    </row>
    <row r="257" spans="1:16" x14ac:dyDescent="0.25">
      <c r="A257" s="28">
        <v>42128.531481481485</v>
      </c>
      <c r="B257">
        <v>4</v>
      </c>
      <c r="C257">
        <v>48</v>
      </c>
      <c r="D257">
        <v>24</v>
      </c>
      <c r="E257">
        <v>2</v>
      </c>
      <c r="F257">
        <v>1.939453125</v>
      </c>
      <c r="G257">
        <v>1.939453125</v>
      </c>
      <c r="H257">
        <v>3.634418001248501</v>
      </c>
      <c r="I257">
        <v>1.5675657003953587</v>
      </c>
      <c r="J257">
        <v>2.0513494606997313</v>
      </c>
      <c r="K257">
        <v>3.3249920675927969E-2</v>
      </c>
      <c r="L257">
        <v>96.365581998751495</v>
      </c>
      <c r="M257">
        <v>3514.19</v>
      </c>
      <c r="N257">
        <v>93177.77</v>
      </c>
      <c r="O257">
        <v>96691.96</v>
      </c>
      <c r="P257">
        <v>451959.83203125</v>
      </c>
    </row>
    <row r="258" spans="1:16" x14ac:dyDescent="0.25">
      <c r="A258" s="28">
        <v>42128.541921296295</v>
      </c>
      <c r="B258">
        <v>1</v>
      </c>
      <c r="C258">
        <v>48</v>
      </c>
      <c r="D258">
        <v>24</v>
      </c>
      <c r="E258">
        <v>2</v>
      </c>
      <c r="F258">
        <v>3.7998046875</v>
      </c>
      <c r="G258">
        <v>3.7998046875</v>
      </c>
      <c r="H258">
        <v>5.674365765378492</v>
      </c>
      <c r="I258">
        <v>3.552424356705012</v>
      </c>
      <c r="J258">
        <v>2.0870204240395025</v>
      </c>
      <c r="K258">
        <v>1.8730737750653693E-2</v>
      </c>
      <c r="L258">
        <v>94.325634234621504</v>
      </c>
      <c r="M258">
        <v>7906.84</v>
      </c>
      <c r="N258">
        <v>131436.31</v>
      </c>
      <c r="O258">
        <v>139343.15</v>
      </c>
      <c r="P258">
        <v>516599.796875</v>
      </c>
    </row>
    <row r="259" spans="1:16" x14ac:dyDescent="0.25">
      <c r="A259" s="28">
        <v>42128.541921296295</v>
      </c>
      <c r="B259">
        <v>2</v>
      </c>
      <c r="C259">
        <v>48</v>
      </c>
      <c r="D259">
        <v>24</v>
      </c>
      <c r="E259">
        <v>2</v>
      </c>
      <c r="F259">
        <v>4.08984375</v>
      </c>
      <c r="G259">
        <v>4.08984375</v>
      </c>
      <c r="H259">
        <v>5.5370798226100595</v>
      </c>
      <c r="I259">
        <v>2.9158041954037799</v>
      </c>
      <c r="J259">
        <v>2.6035681259250989</v>
      </c>
      <c r="K259">
        <v>2.071362518501977E-2</v>
      </c>
      <c r="L259">
        <v>94.462920177389947</v>
      </c>
      <c r="M259">
        <v>7736.12</v>
      </c>
      <c r="N259">
        <v>131978.68</v>
      </c>
      <c r="O259">
        <v>139714.79999999999</v>
      </c>
      <c r="P259">
        <v>516599.796875</v>
      </c>
    </row>
    <row r="260" spans="1:16" x14ac:dyDescent="0.25">
      <c r="A260" s="28">
        <v>42128.541921296295</v>
      </c>
      <c r="B260">
        <v>3</v>
      </c>
      <c r="C260">
        <v>48</v>
      </c>
      <c r="D260">
        <v>24</v>
      </c>
      <c r="E260">
        <v>2</v>
      </c>
      <c r="F260">
        <v>2.25</v>
      </c>
      <c r="G260">
        <v>2.25</v>
      </c>
      <c r="H260">
        <v>3.820824033318178</v>
      </c>
      <c r="I260">
        <v>2.8044357899998151</v>
      </c>
      <c r="J260">
        <v>0.99685982452238897</v>
      </c>
      <c r="K260">
        <v>1.5205497895103141E-2</v>
      </c>
      <c r="L260">
        <v>96.179175966681825</v>
      </c>
      <c r="M260">
        <v>5329.63</v>
      </c>
      <c r="N260">
        <v>134159.39000000001</v>
      </c>
      <c r="O260">
        <v>139489.01999999999</v>
      </c>
      <c r="P260">
        <v>516599.796875</v>
      </c>
    </row>
    <row r="261" spans="1:16" x14ac:dyDescent="0.25">
      <c r="A261" s="28">
        <v>42128.541921296295</v>
      </c>
      <c r="B261">
        <v>4</v>
      </c>
      <c r="C261">
        <v>48</v>
      </c>
      <c r="D261">
        <v>24</v>
      </c>
      <c r="E261">
        <v>2</v>
      </c>
      <c r="F261">
        <v>2.6396484375</v>
      </c>
      <c r="G261">
        <v>2.6396484375</v>
      </c>
      <c r="H261">
        <v>3.9701845343008415</v>
      </c>
      <c r="I261">
        <v>2.2348572043734847</v>
      </c>
      <c r="J261">
        <v>1.716065638918379</v>
      </c>
      <c r="K261">
        <v>2.7786653473374633E-2</v>
      </c>
      <c r="L261">
        <v>96.029815465699158</v>
      </c>
      <c r="M261">
        <v>5546.64</v>
      </c>
      <c r="N261">
        <v>134160.72</v>
      </c>
      <c r="O261">
        <v>139707.35999999999</v>
      </c>
      <c r="P261">
        <v>451959.83203125</v>
      </c>
    </row>
    <row r="262" spans="1:16" x14ac:dyDescent="0.25">
      <c r="A262" s="28">
        <v>42128.552337962959</v>
      </c>
      <c r="B262">
        <v>1</v>
      </c>
      <c r="C262">
        <v>48</v>
      </c>
      <c r="D262">
        <v>24</v>
      </c>
      <c r="E262">
        <v>2</v>
      </c>
      <c r="F262">
        <v>2.33984375</v>
      </c>
      <c r="G262">
        <v>2.33984375</v>
      </c>
      <c r="H262">
        <v>5.7024113915259989</v>
      </c>
      <c r="I262">
        <v>3.7870381808595206</v>
      </c>
      <c r="J262">
        <v>1.8772272387472675</v>
      </c>
      <c r="K262">
        <v>1.5309952203985832E-2</v>
      </c>
      <c r="L262">
        <v>94.297588608474001</v>
      </c>
      <c r="M262">
        <v>10395.48</v>
      </c>
      <c r="N262">
        <v>171904.24</v>
      </c>
      <c r="O262">
        <v>182299.72</v>
      </c>
      <c r="P262">
        <v>516599.796875</v>
      </c>
    </row>
    <row r="263" spans="1:16" x14ac:dyDescent="0.25">
      <c r="A263" s="28">
        <v>42128.552337962959</v>
      </c>
      <c r="B263">
        <v>2</v>
      </c>
      <c r="C263">
        <v>48</v>
      </c>
      <c r="D263">
        <v>24</v>
      </c>
      <c r="E263">
        <v>2</v>
      </c>
      <c r="F263">
        <v>2.8896484375</v>
      </c>
      <c r="G263">
        <v>2.8896484375</v>
      </c>
      <c r="H263">
        <v>5.7760646774208384</v>
      </c>
      <c r="I263">
        <v>3.127979150272445</v>
      </c>
      <c r="J263">
        <v>2.6260149090528508</v>
      </c>
      <c r="K263">
        <v>2.0866368100249652E-2</v>
      </c>
      <c r="L263">
        <v>94.223935322579166</v>
      </c>
      <c r="M263">
        <v>10552.08</v>
      </c>
      <c r="N263">
        <v>172134.24</v>
      </c>
      <c r="O263">
        <v>182686.32</v>
      </c>
      <c r="P263">
        <v>516599.796875</v>
      </c>
    </row>
    <row r="264" spans="1:16" x14ac:dyDescent="0.25">
      <c r="A264" s="28">
        <v>42128.552337962959</v>
      </c>
      <c r="B264">
        <v>3</v>
      </c>
      <c r="C264">
        <v>48</v>
      </c>
      <c r="D264">
        <v>24</v>
      </c>
      <c r="E264">
        <v>2</v>
      </c>
      <c r="F264">
        <v>2.259765625</v>
      </c>
      <c r="G264">
        <v>2.259765625</v>
      </c>
      <c r="H264">
        <v>4.0644650028945604</v>
      </c>
      <c r="I264">
        <v>3.027454859710009</v>
      </c>
      <c r="J264">
        <v>1.013644281809718</v>
      </c>
      <c r="K264">
        <v>1.4574202532414308E-2</v>
      </c>
      <c r="L264">
        <v>95.935534997105435</v>
      </c>
      <c r="M264">
        <v>7415.44</v>
      </c>
      <c r="N264">
        <v>175030.22</v>
      </c>
      <c r="O264">
        <v>182445.66</v>
      </c>
      <c r="P264">
        <v>516599.796875</v>
      </c>
    </row>
    <row r="265" spans="1:16" x14ac:dyDescent="0.25">
      <c r="A265" s="28">
        <v>42128.552337962959</v>
      </c>
      <c r="B265">
        <v>4</v>
      </c>
      <c r="C265">
        <v>48</v>
      </c>
      <c r="D265">
        <v>24</v>
      </c>
      <c r="E265">
        <v>2</v>
      </c>
      <c r="F265">
        <v>1.7998046875</v>
      </c>
      <c r="G265">
        <v>1.7998046875</v>
      </c>
      <c r="H265">
        <v>4.0530361331248734</v>
      </c>
      <c r="I265">
        <v>2.4860365834835076</v>
      </c>
      <c r="J265">
        <v>1.5441367881700836</v>
      </c>
      <c r="K265">
        <v>2.5468141998055378E-2</v>
      </c>
      <c r="L265">
        <v>95.946963866875123</v>
      </c>
      <c r="M265">
        <v>7404.85</v>
      </c>
      <c r="N265">
        <v>175293.99</v>
      </c>
      <c r="O265">
        <v>182698.84</v>
      </c>
      <c r="P265">
        <v>451959.83203125</v>
      </c>
    </row>
    <row r="266" spans="1:16" x14ac:dyDescent="0.25">
      <c r="A266" s="28">
        <v>42128.5627662037</v>
      </c>
      <c r="B266">
        <v>1</v>
      </c>
      <c r="C266">
        <v>48</v>
      </c>
      <c r="D266">
        <v>24</v>
      </c>
      <c r="E266">
        <v>2</v>
      </c>
      <c r="F266">
        <v>1.8896484375</v>
      </c>
      <c r="G266">
        <v>1.8896484375</v>
      </c>
      <c r="H266">
        <v>5.1197723863041178</v>
      </c>
      <c r="I266">
        <v>3.3738315268049748</v>
      </c>
      <c r="J266">
        <v>1.712273740090726</v>
      </c>
      <c r="K266">
        <v>1.3480163697213419E-2</v>
      </c>
      <c r="L266">
        <v>94.88022761369588</v>
      </c>
      <c r="M266">
        <v>11534.54</v>
      </c>
      <c r="N266">
        <v>213759.46</v>
      </c>
      <c r="O266">
        <v>225294</v>
      </c>
      <c r="P266">
        <v>516599.796875</v>
      </c>
    </row>
    <row r="267" spans="1:16" x14ac:dyDescent="0.25">
      <c r="A267" s="28">
        <v>42128.5627662037</v>
      </c>
      <c r="B267">
        <v>2</v>
      </c>
      <c r="C267">
        <v>48</v>
      </c>
      <c r="D267">
        <v>24</v>
      </c>
      <c r="E267">
        <v>2</v>
      </c>
      <c r="F267">
        <v>3.08984375</v>
      </c>
      <c r="G267">
        <v>3.08984375</v>
      </c>
      <c r="H267">
        <v>5.5938808921706498</v>
      </c>
      <c r="I267">
        <v>2.9426320126832879</v>
      </c>
      <c r="J267">
        <v>2.6298388965245154</v>
      </c>
      <c r="K267">
        <v>2.0825107600450903E-2</v>
      </c>
      <c r="L267">
        <v>94.406119107829355</v>
      </c>
      <c r="M267">
        <v>12624.78</v>
      </c>
      <c r="N267">
        <v>213064.33</v>
      </c>
      <c r="O267">
        <v>225689.11</v>
      </c>
      <c r="P267">
        <v>516599.796875</v>
      </c>
    </row>
    <row r="268" spans="1:16" x14ac:dyDescent="0.25">
      <c r="A268" s="28">
        <v>42128.5627662037</v>
      </c>
      <c r="B268">
        <v>3</v>
      </c>
      <c r="C268">
        <v>48</v>
      </c>
      <c r="D268">
        <v>24</v>
      </c>
      <c r="E268">
        <v>2</v>
      </c>
      <c r="F268">
        <v>2.1796875</v>
      </c>
      <c r="G268">
        <v>2.1796875</v>
      </c>
      <c r="H268">
        <v>3.8565484844510225</v>
      </c>
      <c r="I268">
        <v>2.8367759337883052</v>
      </c>
      <c r="J268">
        <v>0.99809545878010264</v>
      </c>
      <c r="K268">
        <v>1.3692895977415727E-2</v>
      </c>
      <c r="L268">
        <v>96.143451515548975</v>
      </c>
      <c r="M268">
        <v>8694.41</v>
      </c>
      <c r="N268">
        <v>216750.96</v>
      </c>
      <c r="O268">
        <v>225445.37</v>
      </c>
      <c r="P268">
        <v>516599.796875</v>
      </c>
    </row>
    <row r="269" spans="1:16" x14ac:dyDescent="0.25">
      <c r="A269" s="28">
        <v>42128.5627662037</v>
      </c>
      <c r="B269">
        <v>4</v>
      </c>
      <c r="C269">
        <v>48</v>
      </c>
      <c r="D269">
        <v>24</v>
      </c>
      <c r="E269">
        <v>2</v>
      </c>
      <c r="F269">
        <v>1.6494140625</v>
      </c>
      <c r="G269">
        <v>1.6494140625</v>
      </c>
      <c r="H269">
        <v>3.6856723024028071</v>
      </c>
      <c r="I269">
        <v>2.2544435844711712</v>
      </c>
      <c r="J269">
        <v>1.4104762581007126</v>
      </c>
      <c r="K269">
        <v>2.3618381177904303E-2</v>
      </c>
      <c r="L269">
        <v>96.314327697597193</v>
      </c>
      <c r="M269">
        <v>8320.64</v>
      </c>
      <c r="N269">
        <v>217435.73</v>
      </c>
      <c r="O269">
        <v>225756.37</v>
      </c>
      <c r="P269">
        <v>451959.83203125</v>
      </c>
    </row>
    <row r="270" spans="1:16" x14ac:dyDescent="0.25">
      <c r="A270" s="28">
        <v>42128.573194444441</v>
      </c>
      <c r="B270">
        <v>1</v>
      </c>
      <c r="C270">
        <v>48</v>
      </c>
      <c r="D270">
        <v>24</v>
      </c>
      <c r="E270">
        <v>2</v>
      </c>
      <c r="F270">
        <v>2.5</v>
      </c>
      <c r="G270">
        <v>2.5</v>
      </c>
      <c r="H270">
        <v>4.7053574883091329</v>
      </c>
      <c r="I270">
        <v>3.0759790647201681</v>
      </c>
      <c r="J270">
        <v>1.5986570253709846</v>
      </c>
      <c r="K270">
        <v>1.1890470797786479E-2</v>
      </c>
      <c r="L270">
        <v>95.294642511690867</v>
      </c>
      <c r="M270">
        <v>12623.63</v>
      </c>
      <c r="N270">
        <v>255658.43</v>
      </c>
      <c r="O270">
        <v>268282.06</v>
      </c>
      <c r="P270">
        <v>516599.796875</v>
      </c>
    </row>
    <row r="271" spans="1:16" x14ac:dyDescent="0.25">
      <c r="A271" s="28">
        <v>42128.573194444441</v>
      </c>
      <c r="B271">
        <v>2</v>
      </c>
      <c r="C271">
        <v>48</v>
      </c>
      <c r="D271">
        <v>24</v>
      </c>
      <c r="E271">
        <v>2</v>
      </c>
      <c r="F271">
        <v>2.7197265625</v>
      </c>
      <c r="G271">
        <v>2.7197265625</v>
      </c>
      <c r="H271">
        <v>5.568596632306976</v>
      </c>
      <c r="I271">
        <v>2.9053673861314144</v>
      </c>
      <c r="J271">
        <v>2.642648192795567</v>
      </c>
      <c r="K271">
        <v>2.052150602844361E-2</v>
      </c>
      <c r="L271">
        <v>94.431403367693022</v>
      </c>
      <c r="M271">
        <v>14962.47</v>
      </c>
      <c r="N271">
        <v>253731.26</v>
      </c>
      <c r="O271">
        <v>268693.73</v>
      </c>
      <c r="P271">
        <v>516599.796875</v>
      </c>
    </row>
    <row r="272" spans="1:16" x14ac:dyDescent="0.25">
      <c r="A272" s="28">
        <v>42128.573194444441</v>
      </c>
      <c r="B272">
        <v>3</v>
      </c>
      <c r="C272">
        <v>48</v>
      </c>
      <c r="D272">
        <v>24</v>
      </c>
      <c r="E272">
        <v>2</v>
      </c>
      <c r="F272">
        <v>2.439453125</v>
      </c>
      <c r="G272">
        <v>2.439453125</v>
      </c>
      <c r="H272">
        <v>3.7150380896339978</v>
      </c>
      <c r="I272">
        <v>2.7066262756539463</v>
      </c>
      <c r="J272">
        <v>0.98754945729000598</v>
      </c>
      <c r="K272">
        <v>1.3128383031378661E-2</v>
      </c>
      <c r="L272">
        <v>96.284961910366007</v>
      </c>
      <c r="M272">
        <v>9972.1299999999992</v>
      </c>
      <c r="N272">
        <v>258453.92</v>
      </c>
      <c r="O272">
        <v>268426.05</v>
      </c>
      <c r="P272">
        <v>516599.796875</v>
      </c>
    </row>
    <row r="273" spans="1:16" x14ac:dyDescent="0.25">
      <c r="A273" s="28">
        <v>42128.573194444441</v>
      </c>
      <c r="B273">
        <v>4</v>
      </c>
      <c r="C273">
        <v>48</v>
      </c>
      <c r="D273">
        <v>24</v>
      </c>
      <c r="E273">
        <v>2</v>
      </c>
      <c r="F273">
        <v>2.009765625</v>
      </c>
      <c r="G273">
        <v>2.009765625</v>
      </c>
      <c r="H273">
        <v>3.4386488751738193</v>
      </c>
      <c r="I273">
        <v>2.0927721167400044</v>
      </c>
      <c r="J273">
        <v>1.325790045145437</v>
      </c>
      <c r="K273">
        <v>2.1894852324894756E-2</v>
      </c>
      <c r="L273">
        <v>96.561351124826174</v>
      </c>
      <c r="M273">
        <v>9242.56</v>
      </c>
      <c r="N273">
        <v>259542.08</v>
      </c>
      <c r="O273">
        <v>268784.64000000001</v>
      </c>
      <c r="P273">
        <v>451959.83203125</v>
      </c>
    </row>
    <row r="274" spans="1:16" x14ac:dyDescent="0.25">
      <c r="A274" s="28">
        <v>42128.583611111113</v>
      </c>
      <c r="B274">
        <v>1</v>
      </c>
      <c r="C274">
        <v>48</v>
      </c>
      <c r="D274">
        <v>24</v>
      </c>
      <c r="E274">
        <v>2</v>
      </c>
      <c r="F274">
        <v>1.689453125</v>
      </c>
      <c r="G274">
        <v>1.689453125</v>
      </c>
      <c r="H274">
        <v>4.4651261348097941</v>
      </c>
      <c r="I274">
        <v>2.9217661816047764</v>
      </c>
      <c r="J274">
        <v>1.5148873089814214</v>
      </c>
      <c r="K274">
        <v>1.1166750685007552E-2</v>
      </c>
      <c r="L274">
        <v>95.534873865190207</v>
      </c>
      <c r="M274">
        <v>13899.1</v>
      </c>
      <c r="N274">
        <v>297382.14</v>
      </c>
      <c r="O274">
        <v>311281.24</v>
      </c>
      <c r="P274">
        <v>516599.796875</v>
      </c>
    </row>
    <row r="275" spans="1:16" x14ac:dyDescent="0.25">
      <c r="A275" s="28">
        <v>42128.583611111113</v>
      </c>
      <c r="B275">
        <v>2</v>
      </c>
      <c r="C275">
        <v>48</v>
      </c>
      <c r="D275">
        <v>24</v>
      </c>
      <c r="E275">
        <v>2</v>
      </c>
      <c r="F275">
        <v>2.8994140625</v>
      </c>
      <c r="G275">
        <v>2.8994140625</v>
      </c>
      <c r="H275">
        <v>5.4756231254073526</v>
      </c>
      <c r="I275">
        <v>2.8227565233225538</v>
      </c>
      <c r="J275">
        <v>2.633438145195762</v>
      </c>
      <c r="K275">
        <v>2.033956682240658E-2</v>
      </c>
      <c r="L275">
        <v>94.524376874592647</v>
      </c>
      <c r="M275">
        <v>17067.939999999999</v>
      </c>
      <c r="N275">
        <v>294639.78000000003</v>
      </c>
      <c r="O275">
        <v>311707.71999999997</v>
      </c>
      <c r="P275">
        <v>516599.796875</v>
      </c>
    </row>
    <row r="276" spans="1:16" x14ac:dyDescent="0.25">
      <c r="A276" s="28">
        <v>42128.583611111113</v>
      </c>
      <c r="B276">
        <v>3</v>
      </c>
      <c r="C276">
        <v>48</v>
      </c>
      <c r="D276">
        <v>24</v>
      </c>
      <c r="E276">
        <v>2</v>
      </c>
      <c r="F276">
        <v>2.119140625</v>
      </c>
      <c r="G276">
        <v>2.119140625</v>
      </c>
      <c r="H276">
        <v>3.644610344792818</v>
      </c>
      <c r="I276">
        <v>2.6486538072132655</v>
      </c>
      <c r="J276">
        <v>0.97613772112253627</v>
      </c>
      <c r="K276">
        <v>1.4003541569839075E-2</v>
      </c>
      <c r="L276">
        <v>96.355389655207176</v>
      </c>
      <c r="M276">
        <v>11350.09</v>
      </c>
      <c r="N276">
        <v>300071.13</v>
      </c>
      <c r="O276">
        <v>311421.21999999997</v>
      </c>
      <c r="P276">
        <v>516599.796875</v>
      </c>
    </row>
    <row r="277" spans="1:16" x14ac:dyDescent="0.25">
      <c r="A277" s="28">
        <v>42128.583611111113</v>
      </c>
      <c r="B277">
        <v>4</v>
      </c>
      <c r="C277">
        <v>48</v>
      </c>
      <c r="D277">
        <v>24</v>
      </c>
      <c r="E277">
        <v>2</v>
      </c>
      <c r="F277">
        <v>1.8994140625</v>
      </c>
      <c r="G277">
        <v>1.8994140625</v>
      </c>
      <c r="H277">
        <v>3.2947213251465213</v>
      </c>
      <c r="I277">
        <v>2.0161257477106638</v>
      </c>
      <c r="J277">
        <v>1.2594885117404548</v>
      </c>
      <c r="K277">
        <v>2.0761856883524058E-2</v>
      </c>
      <c r="L277">
        <v>96.705278674853474</v>
      </c>
      <c r="M277">
        <v>10273.66</v>
      </c>
      <c r="N277">
        <v>301548.15999999997</v>
      </c>
      <c r="O277">
        <v>311821.82</v>
      </c>
      <c r="P277">
        <v>451959.83203125</v>
      </c>
    </row>
    <row r="278" spans="1:16" x14ac:dyDescent="0.25">
      <c r="A278" s="28">
        <v>42128.594039351854</v>
      </c>
      <c r="B278">
        <v>1</v>
      </c>
      <c r="C278">
        <v>48</v>
      </c>
      <c r="D278">
        <v>24</v>
      </c>
      <c r="E278">
        <v>2</v>
      </c>
      <c r="F278">
        <v>2.0498046875</v>
      </c>
      <c r="G278">
        <v>2.0498046875</v>
      </c>
      <c r="H278">
        <v>4.2521959549060391</v>
      </c>
      <c r="I278">
        <v>2.7745973471352423</v>
      </c>
      <c r="J278">
        <v>1.4507212257395372</v>
      </c>
      <c r="K278">
        <v>1.0724430936470514E-2</v>
      </c>
      <c r="L278">
        <v>95.747804045093957</v>
      </c>
      <c r="M278">
        <v>15070.82</v>
      </c>
      <c r="N278">
        <v>339353.58</v>
      </c>
      <c r="O278">
        <v>354424.4</v>
      </c>
      <c r="P278">
        <v>516599.796875</v>
      </c>
    </row>
    <row r="279" spans="1:16" x14ac:dyDescent="0.25">
      <c r="A279" s="28">
        <v>42128.594039351854</v>
      </c>
      <c r="B279">
        <v>2</v>
      </c>
      <c r="C279">
        <v>48</v>
      </c>
      <c r="D279">
        <v>24</v>
      </c>
      <c r="E279">
        <v>2</v>
      </c>
      <c r="F279">
        <v>2.9697265625</v>
      </c>
      <c r="G279">
        <v>2.9697265625</v>
      </c>
      <c r="H279">
        <v>5.3807829751110932</v>
      </c>
      <c r="I279">
        <v>2.7347777422616351</v>
      </c>
      <c r="J279">
        <v>2.6271951096723174</v>
      </c>
      <c r="K279">
        <v>2.0295207059440639E-2</v>
      </c>
      <c r="L279">
        <v>94.619217024888911</v>
      </c>
      <c r="M279">
        <v>19094.36</v>
      </c>
      <c r="N279">
        <v>335767.75</v>
      </c>
      <c r="O279">
        <v>354862.11</v>
      </c>
      <c r="P279">
        <v>516599.796875</v>
      </c>
    </row>
    <row r="280" spans="1:16" x14ac:dyDescent="0.25">
      <c r="A280" s="28">
        <v>42128.594039351854</v>
      </c>
      <c r="B280">
        <v>3</v>
      </c>
      <c r="C280">
        <v>48</v>
      </c>
      <c r="D280">
        <v>24</v>
      </c>
      <c r="E280">
        <v>2</v>
      </c>
      <c r="F280">
        <v>2.5390625</v>
      </c>
      <c r="G280">
        <v>2.5390625</v>
      </c>
      <c r="H280">
        <v>3.5579693796653609</v>
      </c>
      <c r="I280">
        <v>2.5726099205403132</v>
      </c>
      <c r="J280">
        <v>0.96620874074324359</v>
      </c>
      <c r="K280">
        <v>1.365934154979064E-2</v>
      </c>
      <c r="L280">
        <v>96.442030620334634</v>
      </c>
      <c r="M280">
        <v>12614.99</v>
      </c>
      <c r="N280">
        <v>341940.9</v>
      </c>
      <c r="O280">
        <v>354555.89</v>
      </c>
      <c r="P280">
        <v>516599.796875</v>
      </c>
    </row>
    <row r="281" spans="1:16" x14ac:dyDescent="0.25">
      <c r="A281" s="28">
        <v>42128.594039351854</v>
      </c>
      <c r="B281">
        <v>4</v>
      </c>
      <c r="C281">
        <v>48</v>
      </c>
      <c r="D281">
        <v>24</v>
      </c>
      <c r="E281">
        <v>2</v>
      </c>
      <c r="F281">
        <v>2.0498046875</v>
      </c>
      <c r="G281">
        <v>2.0498046875</v>
      </c>
      <c r="H281">
        <v>3.1655168779107914</v>
      </c>
      <c r="I281">
        <v>1.9339019560338087</v>
      </c>
      <c r="J281">
        <v>1.2129196048693907</v>
      </c>
      <c r="K281">
        <v>2.015161938711979E-2</v>
      </c>
      <c r="L281">
        <v>96.83448312208921</v>
      </c>
      <c r="M281">
        <v>11237.86</v>
      </c>
      <c r="N281">
        <v>343770.83</v>
      </c>
      <c r="O281">
        <v>355008.69</v>
      </c>
      <c r="P281">
        <v>451959.83203125</v>
      </c>
    </row>
    <row r="282" spans="1:16" x14ac:dyDescent="0.25">
      <c r="A282" s="28">
        <v>42128.604502314818</v>
      </c>
      <c r="B282">
        <v>1</v>
      </c>
      <c r="C282">
        <v>48</v>
      </c>
      <c r="D282">
        <v>24</v>
      </c>
      <c r="E282">
        <v>2</v>
      </c>
      <c r="F282">
        <v>2.169921875</v>
      </c>
      <c r="G282">
        <v>2.169921875</v>
      </c>
      <c r="H282">
        <v>4.0879367006884166</v>
      </c>
      <c r="I282">
        <v>2.6613813072362507</v>
      </c>
      <c r="J282">
        <v>1.4011424309239824</v>
      </c>
      <c r="K282">
        <v>1.0658347452414669E-2</v>
      </c>
      <c r="L282">
        <v>95.912063299311583</v>
      </c>
      <c r="M282">
        <v>16246.89</v>
      </c>
      <c r="N282">
        <v>381188.08</v>
      </c>
      <c r="O282">
        <v>397434.97</v>
      </c>
      <c r="P282">
        <v>516599.796875</v>
      </c>
    </row>
    <row r="283" spans="1:16" x14ac:dyDescent="0.25">
      <c r="A283" s="28">
        <v>42128.604502314818</v>
      </c>
      <c r="B283">
        <v>2</v>
      </c>
      <c r="C283">
        <v>48</v>
      </c>
      <c r="D283">
        <v>24</v>
      </c>
      <c r="E283">
        <v>2</v>
      </c>
      <c r="F283">
        <v>3.0390625</v>
      </c>
      <c r="G283">
        <v>3.0390625</v>
      </c>
      <c r="H283">
        <v>5.3269285360492793</v>
      </c>
      <c r="I283">
        <v>2.6790228260383806</v>
      </c>
      <c r="J283">
        <v>2.6290997114553565</v>
      </c>
      <c r="K283">
        <v>2.009039647880927E-2</v>
      </c>
      <c r="L283">
        <v>94.67307146395072</v>
      </c>
      <c r="M283">
        <v>21193.279999999999</v>
      </c>
      <c r="N283">
        <v>376658.5</v>
      </c>
      <c r="O283">
        <v>397851.78</v>
      </c>
      <c r="P283">
        <v>516599.796875</v>
      </c>
    </row>
    <row r="284" spans="1:16" x14ac:dyDescent="0.25">
      <c r="A284" s="28">
        <v>42128.604502314818</v>
      </c>
      <c r="B284">
        <v>3</v>
      </c>
      <c r="C284">
        <v>48</v>
      </c>
      <c r="D284">
        <v>24</v>
      </c>
      <c r="E284">
        <v>2</v>
      </c>
      <c r="F284">
        <v>1.76953125</v>
      </c>
      <c r="G284">
        <v>1.76953125</v>
      </c>
      <c r="H284">
        <v>3.4824899914744099</v>
      </c>
      <c r="I284">
        <v>2.5048341609985774</v>
      </c>
      <c r="J284">
        <v>0.95907228781772313</v>
      </c>
      <c r="K284">
        <v>1.3776673408022003E-2</v>
      </c>
      <c r="L284">
        <v>96.517510008525591</v>
      </c>
      <c r="M284">
        <v>13844.85</v>
      </c>
      <c r="N284">
        <v>383711.21</v>
      </c>
      <c r="O284">
        <v>397556.06</v>
      </c>
      <c r="P284">
        <v>516599.796875</v>
      </c>
    </row>
    <row r="285" spans="1:16" x14ac:dyDescent="0.25">
      <c r="A285" s="28">
        <v>42128.604502314818</v>
      </c>
      <c r="B285">
        <v>4</v>
      </c>
      <c r="C285">
        <v>48</v>
      </c>
      <c r="D285">
        <v>24</v>
      </c>
      <c r="E285">
        <v>2</v>
      </c>
      <c r="F285">
        <v>1.6591796875</v>
      </c>
      <c r="G285">
        <v>1.6591796875</v>
      </c>
      <c r="H285">
        <v>3.0473845751893416</v>
      </c>
      <c r="I285">
        <v>1.8547405614902901</v>
      </c>
      <c r="J285">
        <v>1.1745234818904591</v>
      </c>
      <c r="K285">
        <v>1.9642927798611629E-2</v>
      </c>
      <c r="L285">
        <v>96.952615424810659</v>
      </c>
      <c r="M285">
        <v>12130.32</v>
      </c>
      <c r="N285">
        <v>385926.43</v>
      </c>
      <c r="O285">
        <v>398056.75</v>
      </c>
      <c r="P285">
        <v>451959.83203125</v>
      </c>
    </row>
    <row r="286" spans="1:16" x14ac:dyDescent="0.25">
      <c r="A286" s="28">
        <v>42128.614930555559</v>
      </c>
      <c r="B286">
        <v>1</v>
      </c>
      <c r="C286">
        <v>48</v>
      </c>
      <c r="D286">
        <v>24</v>
      </c>
      <c r="E286">
        <v>2</v>
      </c>
      <c r="F286">
        <v>2.2294921875</v>
      </c>
      <c r="G286">
        <v>2.2294921875</v>
      </c>
      <c r="H286">
        <v>3.9336106326812628</v>
      </c>
      <c r="I286">
        <v>2.5482377850309303</v>
      </c>
      <c r="J286">
        <v>1.3611149444531707</v>
      </c>
      <c r="K286">
        <v>1.0155896761597168E-2</v>
      </c>
      <c r="L286">
        <v>96.066389367318735</v>
      </c>
      <c r="M286">
        <v>17324.95</v>
      </c>
      <c r="N286">
        <v>423108.83</v>
      </c>
      <c r="O286">
        <v>440433.78</v>
      </c>
      <c r="P286">
        <v>516599.796875</v>
      </c>
    </row>
    <row r="287" spans="1:16" x14ac:dyDescent="0.25">
      <c r="A287" s="28">
        <v>42128.614930555559</v>
      </c>
      <c r="B287">
        <v>2</v>
      </c>
      <c r="C287">
        <v>48</v>
      </c>
      <c r="D287">
        <v>24</v>
      </c>
      <c r="E287">
        <v>2</v>
      </c>
      <c r="F287">
        <v>2.9794921875</v>
      </c>
      <c r="G287">
        <v>2.9794921875</v>
      </c>
      <c r="H287">
        <v>5.2492456783652797</v>
      </c>
      <c r="I287">
        <v>2.6067592816497704</v>
      </c>
      <c r="J287">
        <v>2.6241431055253228</v>
      </c>
      <c r="K287">
        <v>1.988342903093597E-2</v>
      </c>
      <c r="L287">
        <v>94.750754321634716</v>
      </c>
      <c r="M287">
        <v>23142.33</v>
      </c>
      <c r="N287">
        <v>417727.3</v>
      </c>
      <c r="O287">
        <v>440869.63</v>
      </c>
      <c r="P287">
        <v>516599.796875</v>
      </c>
    </row>
    <row r="288" spans="1:16" x14ac:dyDescent="0.25">
      <c r="A288" s="28">
        <v>42128.614930555559</v>
      </c>
      <c r="B288">
        <v>3</v>
      </c>
      <c r="C288">
        <v>48</v>
      </c>
      <c r="D288">
        <v>24</v>
      </c>
      <c r="E288">
        <v>2</v>
      </c>
      <c r="F288">
        <v>1.9794921875</v>
      </c>
      <c r="G288">
        <v>1.9794921875</v>
      </c>
      <c r="H288">
        <v>3.4175003818022773</v>
      </c>
      <c r="I288">
        <v>2.446519534021443</v>
      </c>
      <c r="J288">
        <v>0.95283956477627474</v>
      </c>
      <c r="K288">
        <v>1.355148392607872E-2</v>
      </c>
      <c r="L288">
        <v>96.582499618197716</v>
      </c>
      <c r="M288">
        <v>15055.53</v>
      </c>
      <c r="N288">
        <v>425486.63</v>
      </c>
      <c r="O288">
        <v>440542.16</v>
      </c>
      <c r="P288">
        <v>516599.796875</v>
      </c>
    </row>
    <row r="289" spans="1:16" x14ac:dyDescent="0.25">
      <c r="A289" s="28">
        <v>42128.614930555559</v>
      </c>
      <c r="B289">
        <v>4</v>
      </c>
      <c r="C289">
        <v>48</v>
      </c>
      <c r="D289">
        <v>24</v>
      </c>
      <c r="E289">
        <v>2</v>
      </c>
      <c r="F289">
        <v>1.83984375</v>
      </c>
      <c r="G289">
        <v>1.83984375</v>
      </c>
      <c r="H289">
        <v>2.9602941286493176</v>
      </c>
      <c r="I289">
        <v>1.7961852781963785</v>
      </c>
      <c r="J289">
        <v>1.1460987531000197</v>
      </c>
      <c r="K289">
        <v>1.9012169738366155E-2</v>
      </c>
      <c r="L289">
        <v>97.039705871350677</v>
      </c>
      <c r="M289">
        <v>13057.44</v>
      </c>
      <c r="N289">
        <v>428028.46</v>
      </c>
      <c r="O289">
        <v>441085.9</v>
      </c>
      <c r="P289">
        <v>451959.83203125</v>
      </c>
    </row>
    <row r="290" spans="1:16" x14ac:dyDescent="0.25">
      <c r="A290" s="28">
        <v>42128.625347222223</v>
      </c>
      <c r="B290">
        <v>1</v>
      </c>
      <c r="C290">
        <v>48</v>
      </c>
      <c r="D290">
        <v>24</v>
      </c>
      <c r="E290">
        <v>2</v>
      </c>
      <c r="F290">
        <v>2.2294921875</v>
      </c>
      <c r="G290">
        <v>2.2294921875</v>
      </c>
      <c r="H290">
        <v>3.8579334667514753</v>
      </c>
      <c r="I290">
        <v>2.5048252894604839</v>
      </c>
      <c r="J290">
        <v>1.3294942004478298</v>
      </c>
      <c r="K290">
        <v>9.8170930358832745E-3</v>
      </c>
      <c r="L290">
        <v>96.142066533248524</v>
      </c>
      <c r="M290">
        <v>18650.89</v>
      </c>
      <c r="N290">
        <v>464791.61</v>
      </c>
      <c r="O290">
        <v>483442.5</v>
      </c>
      <c r="P290">
        <v>516599.796875</v>
      </c>
    </row>
    <row r="291" spans="1:16" x14ac:dyDescent="0.25">
      <c r="A291" s="28">
        <v>42128.625347222223</v>
      </c>
      <c r="B291">
        <v>2</v>
      </c>
      <c r="C291">
        <v>48</v>
      </c>
      <c r="D291">
        <v>24</v>
      </c>
      <c r="E291">
        <v>2</v>
      </c>
      <c r="F291">
        <v>3.83984375</v>
      </c>
      <c r="G291">
        <v>3.83984375</v>
      </c>
      <c r="H291">
        <v>5.2239170405552589</v>
      </c>
      <c r="I291">
        <v>2.5855976876287108</v>
      </c>
      <c r="J291">
        <v>2.6203955160276364</v>
      </c>
      <c r="K291">
        <v>1.9965662202281773E-2</v>
      </c>
      <c r="L291">
        <v>94.776082959444736</v>
      </c>
      <c r="M291">
        <v>25277.53</v>
      </c>
      <c r="N291">
        <v>458603.24</v>
      </c>
      <c r="O291">
        <v>483880.77</v>
      </c>
      <c r="P291">
        <v>516599.796875</v>
      </c>
    </row>
    <row r="292" spans="1:16" x14ac:dyDescent="0.25">
      <c r="A292" s="28">
        <v>42128.625347222223</v>
      </c>
      <c r="B292">
        <v>3</v>
      </c>
      <c r="C292">
        <v>48</v>
      </c>
      <c r="D292">
        <v>24</v>
      </c>
      <c r="E292">
        <v>2</v>
      </c>
      <c r="F292">
        <v>2.6796875</v>
      </c>
      <c r="G292">
        <v>2.6796875</v>
      </c>
      <c r="H292">
        <v>3.4021881555874414</v>
      </c>
      <c r="I292">
        <v>2.4361037585739704</v>
      </c>
      <c r="J292">
        <v>0.94822446852804931</v>
      </c>
      <c r="K292">
        <v>1.3494214146291799E-2</v>
      </c>
      <c r="L292">
        <v>96.597811844412561</v>
      </c>
      <c r="M292">
        <v>16450.96</v>
      </c>
      <c r="N292">
        <v>467089.61</v>
      </c>
      <c r="O292">
        <v>483540.57</v>
      </c>
      <c r="P292">
        <v>516599.796875</v>
      </c>
    </row>
    <row r="293" spans="1:16" x14ac:dyDescent="0.25">
      <c r="A293" s="28">
        <v>42128.625347222223</v>
      </c>
      <c r="B293">
        <v>4</v>
      </c>
      <c r="C293">
        <v>48</v>
      </c>
      <c r="D293">
        <v>24</v>
      </c>
      <c r="E293">
        <v>2</v>
      </c>
      <c r="F293">
        <v>1.69921875</v>
      </c>
      <c r="G293">
        <v>1.69921875</v>
      </c>
      <c r="H293">
        <v>2.9204750264147652</v>
      </c>
      <c r="I293">
        <v>1.7816950484628911</v>
      </c>
      <c r="J293">
        <v>1.1211312317513173</v>
      </c>
      <c r="K293">
        <v>1.8410963820875884E-2</v>
      </c>
      <c r="L293">
        <v>97.079524973585237</v>
      </c>
      <c r="M293">
        <v>14138.42</v>
      </c>
      <c r="N293">
        <v>469975.29</v>
      </c>
      <c r="O293">
        <v>484113.71</v>
      </c>
      <c r="P293">
        <v>451959.83203125</v>
      </c>
    </row>
    <row r="294" spans="1:16" x14ac:dyDescent="0.25">
      <c r="A294" s="28">
        <v>42128.635775462964</v>
      </c>
      <c r="B294">
        <v>1</v>
      </c>
      <c r="C294">
        <v>48</v>
      </c>
      <c r="D294">
        <v>24</v>
      </c>
      <c r="E294">
        <v>2</v>
      </c>
      <c r="F294">
        <v>1.7294921875</v>
      </c>
      <c r="G294">
        <v>1.7294921875</v>
      </c>
      <c r="H294">
        <v>3.7587207834188052</v>
      </c>
      <c r="I294">
        <v>2.4321146803348737</v>
      </c>
      <c r="J294">
        <v>1.3037155582044093</v>
      </c>
      <c r="K294">
        <v>9.6723026158979514E-3</v>
      </c>
      <c r="L294">
        <v>96.241279216581191</v>
      </c>
      <c r="M294">
        <v>19737.330000000002</v>
      </c>
      <c r="N294">
        <v>505370.31</v>
      </c>
      <c r="O294">
        <v>525107.64</v>
      </c>
      <c r="P294">
        <v>516599.796875</v>
      </c>
    </row>
    <row r="295" spans="1:16" x14ac:dyDescent="0.25">
      <c r="A295" s="28">
        <v>42128.635775462964</v>
      </c>
      <c r="B295">
        <v>2</v>
      </c>
      <c r="C295">
        <v>48</v>
      </c>
      <c r="D295">
        <v>24</v>
      </c>
      <c r="E295">
        <v>2</v>
      </c>
      <c r="F295">
        <v>2.7392578125</v>
      </c>
      <c r="G295">
        <v>2.7392578125</v>
      </c>
      <c r="H295">
        <v>5.1764569555388409</v>
      </c>
      <c r="I295">
        <v>2.5415947503687066</v>
      </c>
      <c r="J295">
        <v>2.617282630432586</v>
      </c>
      <c r="K295">
        <v>1.9946604824517256E-2</v>
      </c>
      <c r="L295">
        <v>94.823543044461161</v>
      </c>
      <c r="M295">
        <v>27205.03</v>
      </c>
      <c r="N295">
        <v>498348.07</v>
      </c>
      <c r="O295">
        <v>525553.1</v>
      </c>
      <c r="P295">
        <v>516599.796875</v>
      </c>
    </row>
    <row r="296" spans="1:16" x14ac:dyDescent="0.25">
      <c r="A296" s="28">
        <v>42128.635775462964</v>
      </c>
      <c r="B296">
        <v>3</v>
      </c>
      <c r="C296">
        <v>48</v>
      </c>
      <c r="D296">
        <v>24</v>
      </c>
      <c r="E296">
        <v>2</v>
      </c>
      <c r="F296">
        <v>1.759765625</v>
      </c>
      <c r="G296">
        <v>1.759765625</v>
      </c>
      <c r="H296">
        <v>3.3925471632457191</v>
      </c>
      <c r="I296">
        <v>2.4235490958265529</v>
      </c>
      <c r="J296">
        <v>0.95081567973406378</v>
      </c>
      <c r="K296">
        <v>1.3475417074821507E-2</v>
      </c>
      <c r="L296">
        <v>96.607452836754277</v>
      </c>
      <c r="M296">
        <v>17816.93</v>
      </c>
      <c r="N296">
        <v>507361.62</v>
      </c>
      <c r="O296">
        <v>525178.55000000005</v>
      </c>
      <c r="P296">
        <v>516599.796875</v>
      </c>
    </row>
    <row r="297" spans="1:16" x14ac:dyDescent="0.25">
      <c r="A297" s="28">
        <v>42128.635775462964</v>
      </c>
      <c r="B297">
        <v>4</v>
      </c>
      <c r="C297">
        <v>48</v>
      </c>
      <c r="D297">
        <v>24</v>
      </c>
      <c r="E297">
        <v>2</v>
      </c>
      <c r="F297">
        <v>1.7099609375</v>
      </c>
      <c r="G297">
        <v>1.7099609375</v>
      </c>
      <c r="H297">
        <v>2.8708569568921964</v>
      </c>
      <c r="I297">
        <v>1.7495541859357022</v>
      </c>
      <c r="J297">
        <v>1.1036311019700564</v>
      </c>
      <c r="K297">
        <v>1.8192766414578496E-2</v>
      </c>
      <c r="L297">
        <v>97.129143043107803</v>
      </c>
      <c r="M297">
        <v>15095.35</v>
      </c>
      <c r="N297">
        <v>510718.03</v>
      </c>
      <c r="O297">
        <v>525813.38</v>
      </c>
      <c r="P297">
        <v>451959.83203125</v>
      </c>
    </row>
    <row r="298" spans="1:16" x14ac:dyDescent="0.25">
      <c r="A298" s="28">
        <v>42128.645868055559</v>
      </c>
      <c r="B298">
        <v>1</v>
      </c>
      <c r="C298">
        <v>48</v>
      </c>
      <c r="D298">
        <v>24</v>
      </c>
      <c r="E298">
        <v>2</v>
      </c>
      <c r="F298">
        <v>1.83984375</v>
      </c>
      <c r="G298">
        <v>1.83984375</v>
      </c>
      <c r="H298">
        <v>3.6964575701466074</v>
      </c>
      <c r="I298">
        <v>2.3903558125421314</v>
      </c>
      <c r="J298">
        <v>1.2834733939888439</v>
      </c>
      <c r="K298">
        <v>9.4718881293117726E-3</v>
      </c>
      <c r="L298">
        <v>96.303542429853394</v>
      </c>
      <c r="M298">
        <v>21007.46</v>
      </c>
      <c r="N298">
        <v>547305.84</v>
      </c>
      <c r="O298">
        <v>568313.30000000005</v>
      </c>
      <c r="P298">
        <v>516599.796875</v>
      </c>
    </row>
    <row r="299" spans="1:16" x14ac:dyDescent="0.25">
      <c r="A299" s="28">
        <v>42128.645868055559</v>
      </c>
      <c r="B299">
        <v>2</v>
      </c>
      <c r="C299">
        <v>48</v>
      </c>
      <c r="D299">
        <v>24</v>
      </c>
      <c r="E299">
        <v>2</v>
      </c>
      <c r="F299">
        <v>2.9599609375</v>
      </c>
      <c r="G299">
        <v>2.9599609375</v>
      </c>
      <c r="H299">
        <v>5.3008594955732882</v>
      </c>
      <c r="I299">
        <v>2.6339378770156037</v>
      </c>
      <c r="J299">
        <v>2.6449060831960769</v>
      </c>
      <c r="K299">
        <v>1.9729759786965718E-2</v>
      </c>
      <c r="L299">
        <v>94.699140504426708</v>
      </c>
      <c r="M299">
        <v>30147.83</v>
      </c>
      <c r="N299">
        <v>538586.92000000004</v>
      </c>
      <c r="O299">
        <v>568734.75</v>
      </c>
      <c r="P299">
        <v>516599.796875</v>
      </c>
    </row>
    <row r="300" spans="1:16" x14ac:dyDescent="0.25">
      <c r="A300" s="28">
        <v>42128.645868055559</v>
      </c>
      <c r="B300">
        <v>3</v>
      </c>
      <c r="C300">
        <v>48</v>
      </c>
      <c r="D300">
        <v>24</v>
      </c>
      <c r="E300">
        <v>2</v>
      </c>
      <c r="F300">
        <v>2.76953125</v>
      </c>
      <c r="G300">
        <v>2.76953125</v>
      </c>
      <c r="H300">
        <v>3.4408429347958331</v>
      </c>
      <c r="I300">
        <v>2.4570238381920571</v>
      </c>
      <c r="J300">
        <v>0.96379149711839562</v>
      </c>
      <c r="K300">
        <v>1.3134150062230183E-2</v>
      </c>
      <c r="L300">
        <v>96.559157065204161</v>
      </c>
      <c r="M300">
        <v>19556.57</v>
      </c>
      <c r="N300">
        <v>548809.1</v>
      </c>
      <c r="O300">
        <v>568365.67000000004</v>
      </c>
      <c r="P300">
        <v>516599.796875</v>
      </c>
    </row>
    <row r="301" spans="1:16" x14ac:dyDescent="0.25">
      <c r="A301" s="28">
        <v>42128.645868055559</v>
      </c>
      <c r="B301">
        <v>4</v>
      </c>
      <c r="C301">
        <v>48</v>
      </c>
      <c r="D301">
        <v>24</v>
      </c>
      <c r="E301">
        <v>2</v>
      </c>
      <c r="F301">
        <v>1.859375</v>
      </c>
      <c r="G301">
        <v>1.859375</v>
      </c>
      <c r="H301">
        <v>2.8533124391583859</v>
      </c>
      <c r="I301">
        <v>1.742385029580926</v>
      </c>
      <c r="J301">
        <v>1.0928636206960725</v>
      </c>
      <c r="K301">
        <v>1.776503957602342E-2</v>
      </c>
      <c r="L301">
        <v>97.146687560841613</v>
      </c>
      <c r="M301">
        <v>16236.46</v>
      </c>
      <c r="N301">
        <v>552802.52</v>
      </c>
      <c r="O301">
        <v>569038.98</v>
      </c>
      <c r="P301">
        <v>451959.83203125</v>
      </c>
    </row>
    <row r="302" spans="1:16" x14ac:dyDescent="0.25">
      <c r="A302" s="28">
        <v>42128.656354166669</v>
      </c>
      <c r="B302">
        <v>1</v>
      </c>
      <c r="C302">
        <v>48</v>
      </c>
      <c r="D302">
        <v>24</v>
      </c>
      <c r="E302">
        <v>2</v>
      </c>
      <c r="F302">
        <v>2.119140625</v>
      </c>
      <c r="G302">
        <v>2.119140625</v>
      </c>
      <c r="H302">
        <v>3.6319033835795742</v>
      </c>
      <c r="I302">
        <v>2.342915936982509</v>
      </c>
      <c r="J302">
        <v>1.2666781522944515</v>
      </c>
      <c r="K302">
        <v>9.3945063191018859E-3</v>
      </c>
      <c r="L302">
        <v>96.368096616420431</v>
      </c>
      <c r="M302">
        <v>22202.36</v>
      </c>
      <c r="N302">
        <v>589112.36</v>
      </c>
      <c r="O302">
        <v>611314.72</v>
      </c>
      <c r="P302">
        <v>516599.796875</v>
      </c>
    </row>
    <row r="303" spans="1:16" x14ac:dyDescent="0.25">
      <c r="A303" s="28">
        <v>42128.656354166669</v>
      </c>
      <c r="B303">
        <v>2</v>
      </c>
      <c r="C303">
        <v>48</v>
      </c>
      <c r="D303">
        <v>24</v>
      </c>
      <c r="E303">
        <v>2</v>
      </c>
      <c r="F303">
        <v>3.3193359375</v>
      </c>
      <c r="G303">
        <v>3.3193359375</v>
      </c>
      <c r="H303">
        <v>5.3392656891112091</v>
      </c>
      <c r="I303">
        <v>2.6591797034639466</v>
      </c>
      <c r="J303">
        <v>2.6575515341735731</v>
      </c>
      <c r="K303">
        <v>1.9681885799290536E-2</v>
      </c>
      <c r="L303">
        <v>94.660734310888785</v>
      </c>
      <c r="M303">
        <v>32661.89</v>
      </c>
      <c r="N303">
        <v>579068.11</v>
      </c>
      <c r="O303">
        <v>611730</v>
      </c>
      <c r="P303">
        <v>516599.796875</v>
      </c>
    </row>
    <row r="304" spans="1:16" x14ac:dyDescent="0.25">
      <c r="A304" s="28">
        <v>42128.656354166669</v>
      </c>
      <c r="B304">
        <v>3</v>
      </c>
      <c r="C304">
        <v>48</v>
      </c>
      <c r="D304">
        <v>24</v>
      </c>
      <c r="E304">
        <v>2</v>
      </c>
      <c r="F304">
        <v>2.08984375</v>
      </c>
      <c r="G304">
        <v>2.08984375</v>
      </c>
      <c r="H304">
        <v>3.4492098331733629</v>
      </c>
      <c r="I304">
        <v>2.4421302481570417</v>
      </c>
      <c r="J304">
        <v>0.9797196127930885</v>
      </c>
      <c r="K304">
        <v>1.3575296513249131E-2</v>
      </c>
      <c r="L304">
        <v>96.550790166826644</v>
      </c>
      <c r="M304">
        <v>21086.09</v>
      </c>
      <c r="N304">
        <v>590244.93999999994</v>
      </c>
      <c r="O304">
        <v>611331.03</v>
      </c>
      <c r="P304">
        <v>516599.796875</v>
      </c>
    </row>
    <row r="305" spans="1:16" x14ac:dyDescent="0.25">
      <c r="A305" s="28">
        <v>42128.656354166669</v>
      </c>
      <c r="B305">
        <v>4</v>
      </c>
      <c r="C305">
        <v>48</v>
      </c>
      <c r="D305">
        <v>24</v>
      </c>
      <c r="E305">
        <v>2</v>
      </c>
      <c r="F305">
        <v>2.6796875</v>
      </c>
      <c r="G305">
        <v>2.6796875</v>
      </c>
      <c r="H305">
        <v>2.8302406211081328</v>
      </c>
      <c r="I305">
        <v>1.728205591695851</v>
      </c>
      <c r="J305">
        <v>1.0835945583635436</v>
      </c>
      <c r="K305">
        <v>1.7466738369988487E-2</v>
      </c>
      <c r="L305">
        <v>97.169759378891868</v>
      </c>
      <c r="M305">
        <v>17323.27</v>
      </c>
      <c r="N305">
        <v>594754.37</v>
      </c>
      <c r="O305">
        <v>612077.64</v>
      </c>
      <c r="P305">
        <v>451959.83203125</v>
      </c>
    </row>
    <row r="306" spans="1:16" x14ac:dyDescent="0.25">
      <c r="A306" s="28">
        <v>42128.66678240741</v>
      </c>
      <c r="B306">
        <v>1</v>
      </c>
      <c r="C306">
        <v>48</v>
      </c>
      <c r="D306">
        <v>24</v>
      </c>
      <c r="E306">
        <v>2</v>
      </c>
      <c r="F306">
        <v>2.4091796875</v>
      </c>
      <c r="G306">
        <v>2.4091796875</v>
      </c>
      <c r="H306">
        <v>3.5822427360928342</v>
      </c>
      <c r="I306">
        <v>2.309885230385949</v>
      </c>
      <c r="J306">
        <v>1.2503629348641081</v>
      </c>
      <c r="K306">
        <v>9.4022359659940349E-3</v>
      </c>
      <c r="L306">
        <v>96.417757263907163</v>
      </c>
      <c r="M306">
        <v>23446.68</v>
      </c>
      <c r="N306">
        <v>631078.48</v>
      </c>
      <c r="O306">
        <v>654525.16</v>
      </c>
      <c r="P306">
        <v>516599.796875</v>
      </c>
    </row>
    <row r="307" spans="1:16" x14ac:dyDescent="0.25">
      <c r="A307" s="28">
        <v>42128.66678240741</v>
      </c>
      <c r="B307">
        <v>2</v>
      </c>
      <c r="C307">
        <v>48</v>
      </c>
      <c r="D307">
        <v>24</v>
      </c>
      <c r="E307">
        <v>2</v>
      </c>
      <c r="F307">
        <v>3.2890625</v>
      </c>
      <c r="G307">
        <v>3.2890625</v>
      </c>
      <c r="H307">
        <v>5.3446241548202496</v>
      </c>
      <c r="I307">
        <v>2.654853649775605</v>
      </c>
      <c r="J307">
        <v>2.6668748322809899</v>
      </c>
      <c r="K307">
        <v>1.9406735633614267E-2</v>
      </c>
      <c r="L307">
        <v>94.655375845179748</v>
      </c>
      <c r="M307">
        <v>35003.4</v>
      </c>
      <c r="N307">
        <v>619923.85</v>
      </c>
      <c r="O307">
        <v>654927.25</v>
      </c>
      <c r="P307">
        <v>516599.796875</v>
      </c>
    </row>
    <row r="308" spans="1:16" x14ac:dyDescent="0.25">
      <c r="A308" s="28">
        <v>42128.66678240741</v>
      </c>
      <c r="B308">
        <v>3</v>
      </c>
      <c r="C308">
        <v>48</v>
      </c>
      <c r="D308">
        <v>24</v>
      </c>
      <c r="E308">
        <v>2</v>
      </c>
      <c r="F308">
        <v>2.44921875</v>
      </c>
      <c r="G308">
        <v>2.44921875</v>
      </c>
      <c r="H308">
        <v>3.4751378735326792</v>
      </c>
      <c r="I308">
        <v>2.4390148872642783</v>
      </c>
      <c r="J308">
        <v>0.99832046872249247</v>
      </c>
      <c r="K308">
        <v>1.3549683747508824E-2</v>
      </c>
      <c r="L308">
        <v>96.524862126467326</v>
      </c>
      <c r="M308">
        <v>22744.09</v>
      </c>
      <c r="N308">
        <v>631736.13</v>
      </c>
      <c r="O308">
        <v>654480.22</v>
      </c>
      <c r="P308">
        <v>516599.796875</v>
      </c>
    </row>
    <row r="309" spans="1:16" x14ac:dyDescent="0.25">
      <c r="A309" s="28">
        <v>42128.66678240741</v>
      </c>
      <c r="B309">
        <v>4</v>
      </c>
      <c r="C309">
        <v>48</v>
      </c>
      <c r="D309">
        <v>24</v>
      </c>
      <c r="E309">
        <v>2</v>
      </c>
      <c r="F309">
        <v>2.359375</v>
      </c>
      <c r="G309">
        <v>2.359375</v>
      </c>
      <c r="H309">
        <v>2.8461886178275209</v>
      </c>
      <c r="I309">
        <v>1.752994172480193</v>
      </c>
      <c r="J309">
        <v>1.074459741781856</v>
      </c>
      <c r="K309">
        <v>1.736893345134808E-2</v>
      </c>
      <c r="L309">
        <v>97.153811382172478</v>
      </c>
      <c r="M309">
        <v>18651.3</v>
      </c>
      <c r="N309">
        <v>636656.64000000001</v>
      </c>
      <c r="O309">
        <v>655307.93999999994</v>
      </c>
      <c r="P309">
        <v>451959.83203125</v>
      </c>
    </row>
    <row r="310" spans="1:16" x14ac:dyDescent="0.25">
      <c r="A310" s="28">
        <v>42128.677256944444</v>
      </c>
      <c r="B310">
        <v>1</v>
      </c>
      <c r="C310">
        <v>48</v>
      </c>
      <c r="D310">
        <v>24</v>
      </c>
      <c r="E310">
        <v>2</v>
      </c>
      <c r="F310">
        <v>1.7998046875</v>
      </c>
      <c r="G310">
        <v>1.7998046875</v>
      </c>
      <c r="H310">
        <v>3.525244930731835</v>
      </c>
      <c r="I310">
        <v>2.2695560915191773</v>
      </c>
      <c r="J310">
        <v>1.2340814467663137</v>
      </c>
      <c r="K310">
        <v>9.1579102273915709E-3</v>
      </c>
      <c r="L310">
        <v>96.47475506926817</v>
      </c>
      <c r="M310">
        <v>24589.96</v>
      </c>
      <c r="N310">
        <v>672949.09</v>
      </c>
      <c r="O310">
        <v>697539.05</v>
      </c>
      <c r="P310">
        <v>516599.796875</v>
      </c>
    </row>
    <row r="311" spans="1:16" x14ac:dyDescent="0.25">
      <c r="A311" s="28">
        <v>42128.677256944444</v>
      </c>
      <c r="B311">
        <v>2</v>
      </c>
      <c r="C311">
        <v>48</v>
      </c>
      <c r="D311">
        <v>24</v>
      </c>
      <c r="E311">
        <v>2</v>
      </c>
      <c r="F311">
        <v>2.919921875</v>
      </c>
      <c r="G311">
        <v>2.919921875</v>
      </c>
      <c r="H311">
        <v>5.3569361539998681</v>
      </c>
      <c r="I311">
        <v>2.6607432377144806</v>
      </c>
      <c r="J311">
        <v>2.6731152357122085</v>
      </c>
      <c r="K311">
        <v>1.9365364787178926E-2</v>
      </c>
      <c r="L311">
        <v>94.643063846000132</v>
      </c>
      <c r="M311">
        <v>37388.58</v>
      </c>
      <c r="N311">
        <v>660558.51</v>
      </c>
      <c r="O311">
        <v>697947.09</v>
      </c>
      <c r="P311">
        <v>516599.796875</v>
      </c>
    </row>
    <row r="312" spans="1:16" x14ac:dyDescent="0.25">
      <c r="A312" s="28">
        <v>42128.677256944444</v>
      </c>
      <c r="B312">
        <v>3</v>
      </c>
      <c r="C312">
        <v>48</v>
      </c>
      <c r="D312">
        <v>24</v>
      </c>
      <c r="E312">
        <v>2</v>
      </c>
      <c r="F312">
        <v>2.3798828125</v>
      </c>
      <c r="G312">
        <v>2.3798828125</v>
      </c>
      <c r="H312">
        <v>3.5109192772798479</v>
      </c>
      <c r="I312">
        <v>2.4555177740576961</v>
      </c>
      <c r="J312">
        <v>1.0108998854253244</v>
      </c>
      <c r="K312">
        <v>1.3652439095991745E-2</v>
      </c>
      <c r="L312">
        <v>96.489080722720146</v>
      </c>
      <c r="M312">
        <v>24487.18</v>
      </c>
      <c r="N312">
        <v>672970.61</v>
      </c>
      <c r="O312">
        <v>697457.79</v>
      </c>
      <c r="P312">
        <v>516599.796875</v>
      </c>
    </row>
    <row r="313" spans="1:16" x14ac:dyDescent="0.25">
      <c r="A313" s="28">
        <v>42128.677256944444</v>
      </c>
      <c r="B313">
        <v>4</v>
      </c>
      <c r="C313">
        <v>48</v>
      </c>
      <c r="D313">
        <v>24</v>
      </c>
      <c r="E313">
        <v>2</v>
      </c>
      <c r="F313">
        <v>1.849609375</v>
      </c>
      <c r="G313">
        <v>1.849609375</v>
      </c>
      <c r="H313">
        <v>2.8465815553967513</v>
      </c>
      <c r="I313">
        <v>1.7596225588611583</v>
      </c>
      <c r="J313">
        <v>1.0677349643904339</v>
      </c>
      <c r="K313">
        <v>1.7342439725141448E-2</v>
      </c>
      <c r="L313">
        <v>97.153418444603247</v>
      </c>
      <c r="M313">
        <v>19878.95</v>
      </c>
      <c r="N313">
        <v>678465.7</v>
      </c>
      <c r="O313">
        <v>698344.65</v>
      </c>
      <c r="P313">
        <v>451959.83203125</v>
      </c>
    </row>
    <row r="314" spans="1:16" x14ac:dyDescent="0.25">
      <c r="A314" s="28">
        <v>42128.687685185185</v>
      </c>
      <c r="B314">
        <v>1</v>
      </c>
      <c r="C314">
        <v>48</v>
      </c>
      <c r="D314">
        <v>24</v>
      </c>
      <c r="E314">
        <v>2</v>
      </c>
      <c r="F314">
        <v>1.7890625</v>
      </c>
      <c r="G314">
        <v>1.7890625</v>
      </c>
      <c r="H314">
        <v>3.4704277313791958</v>
      </c>
      <c r="I314">
        <v>2.2298426575489274</v>
      </c>
      <c r="J314">
        <v>1.2193110510522818</v>
      </c>
      <c r="K314">
        <v>8.9974847271577889E-3</v>
      </c>
      <c r="L314">
        <v>96.529572268620811</v>
      </c>
      <c r="M314">
        <v>25707.63</v>
      </c>
      <c r="N314">
        <v>715054.95</v>
      </c>
      <c r="O314">
        <v>740762.58</v>
      </c>
      <c r="P314">
        <v>516599.796875</v>
      </c>
    </row>
    <row r="315" spans="1:16" x14ac:dyDescent="0.25">
      <c r="A315" s="28">
        <v>42128.687685185185</v>
      </c>
      <c r="B315">
        <v>2</v>
      </c>
      <c r="C315">
        <v>48</v>
      </c>
      <c r="D315">
        <v>24</v>
      </c>
      <c r="E315">
        <v>2</v>
      </c>
      <c r="F315">
        <v>1.94921875</v>
      </c>
      <c r="G315">
        <v>1.94921875</v>
      </c>
      <c r="H315">
        <v>5.258841289532926</v>
      </c>
      <c r="I315">
        <v>2.6155600295043699</v>
      </c>
      <c r="J315">
        <v>2.6205157425246819</v>
      </c>
      <c r="K315">
        <v>1.8850058972715095E-2</v>
      </c>
      <c r="L315">
        <v>94.741158710467076</v>
      </c>
      <c r="M315">
        <v>38976.68</v>
      </c>
      <c r="N315">
        <v>702188.11</v>
      </c>
      <c r="O315">
        <v>741164.79</v>
      </c>
      <c r="P315">
        <v>516599.796875</v>
      </c>
    </row>
    <row r="316" spans="1:16" x14ac:dyDescent="0.25">
      <c r="A316" s="28">
        <v>42128.687685185185</v>
      </c>
      <c r="B316">
        <v>3</v>
      </c>
      <c r="C316">
        <v>48</v>
      </c>
      <c r="D316">
        <v>24</v>
      </c>
      <c r="E316">
        <v>2</v>
      </c>
      <c r="F316">
        <v>2.3291015625</v>
      </c>
      <c r="G316">
        <v>2.3291015625</v>
      </c>
      <c r="H316">
        <v>3.5135125939237013</v>
      </c>
      <c r="I316">
        <v>2.4434521617873854</v>
      </c>
      <c r="J316">
        <v>1.0200101874640832</v>
      </c>
      <c r="K316">
        <v>1.3403349938257097E-2</v>
      </c>
      <c r="L316">
        <v>96.486487406076293</v>
      </c>
      <c r="M316">
        <v>26022.33</v>
      </c>
      <c r="N316">
        <v>714613.41</v>
      </c>
      <c r="O316">
        <v>740635.74</v>
      </c>
      <c r="P316">
        <v>516599.796875</v>
      </c>
    </row>
    <row r="317" spans="1:16" x14ac:dyDescent="0.25">
      <c r="A317" s="28">
        <v>42128.687685185185</v>
      </c>
      <c r="B317">
        <v>4</v>
      </c>
      <c r="C317">
        <v>48</v>
      </c>
      <c r="D317">
        <v>24</v>
      </c>
      <c r="E317">
        <v>2</v>
      </c>
      <c r="F317">
        <v>1.5595703125</v>
      </c>
      <c r="G317">
        <v>1.5595703125</v>
      </c>
      <c r="H317">
        <v>2.8121342519384234</v>
      </c>
      <c r="I317">
        <v>1.735942093110292</v>
      </c>
      <c r="J317">
        <v>1.0571881265427714</v>
      </c>
      <c r="K317">
        <v>1.7160669471616704E-2</v>
      </c>
      <c r="L317">
        <v>97.187865748061583</v>
      </c>
      <c r="M317">
        <v>20854.21</v>
      </c>
      <c r="N317">
        <v>720725.25</v>
      </c>
      <c r="O317">
        <v>741579.46</v>
      </c>
      <c r="P317">
        <v>451959.83203125</v>
      </c>
    </row>
    <row r="318" spans="1:16" x14ac:dyDescent="0.25">
      <c r="A318" s="28">
        <v>42128.698159722226</v>
      </c>
      <c r="B318">
        <v>1</v>
      </c>
      <c r="C318">
        <v>48</v>
      </c>
      <c r="D318">
        <v>24</v>
      </c>
      <c r="E318">
        <v>2</v>
      </c>
      <c r="F318">
        <v>1.9599609375</v>
      </c>
      <c r="G318">
        <v>1.9599609375</v>
      </c>
      <c r="H318">
        <v>3.4192389192513843</v>
      </c>
      <c r="I318">
        <v>2.1909223752732645</v>
      </c>
      <c r="J318">
        <v>1.2073760463008401</v>
      </c>
      <c r="K318">
        <v>8.86076624436174E-3</v>
      </c>
      <c r="L318">
        <v>96.580761080748616</v>
      </c>
      <c r="M318">
        <v>26799.73</v>
      </c>
      <c r="N318">
        <v>756992.53</v>
      </c>
      <c r="O318">
        <v>783792.26</v>
      </c>
      <c r="P318">
        <v>516599.796875</v>
      </c>
    </row>
    <row r="319" spans="1:16" x14ac:dyDescent="0.25">
      <c r="A319" s="28">
        <v>42128.698159722226</v>
      </c>
      <c r="B319">
        <v>2</v>
      </c>
      <c r="C319">
        <v>48</v>
      </c>
      <c r="D319">
        <v>24</v>
      </c>
      <c r="E319">
        <v>2</v>
      </c>
      <c r="F319">
        <v>2.1796875</v>
      </c>
      <c r="G319">
        <v>2.1796875</v>
      </c>
      <c r="H319">
        <v>5.1261742422609826</v>
      </c>
      <c r="I319">
        <v>2.5689624607939829</v>
      </c>
      <c r="J319">
        <v>2.5347458597759749</v>
      </c>
      <c r="K319">
        <v>1.8240012706800798E-2</v>
      </c>
      <c r="L319">
        <v>94.873825757739013</v>
      </c>
      <c r="M319">
        <v>40199.97</v>
      </c>
      <c r="N319">
        <v>744010.01</v>
      </c>
      <c r="O319">
        <v>784209.98</v>
      </c>
      <c r="P319">
        <v>516599.796875</v>
      </c>
    </row>
    <row r="320" spans="1:16" x14ac:dyDescent="0.25">
      <c r="A320" s="28">
        <v>42128.698159722226</v>
      </c>
      <c r="B320">
        <v>3</v>
      </c>
      <c r="C320">
        <v>48</v>
      </c>
      <c r="D320">
        <v>24</v>
      </c>
      <c r="E320">
        <v>2</v>
      </c>
      <c r="F320">
        <v>2.6796875</v>
      </c>
      <c r="G320">
        <v>2.6796875</v>
      </c>
      <c r="H320">
        <v>3.5158959936455765</v>
      </c>
      <c r="I320">
        <v>2.4295910344772755</v>
      </c>
      <c r="J320">
        <v>1.0303899519190405</v>
      </c>
      <c r="K320">
        <v>1.3257737135123345E-2</v>
      </c>
      <c r="L320">
        <v>96.484104006354428</v>
      </c>
      <c r="M320">
        <v>27551.19</v>
      </c>
      <c r="N320">
        <v>756066.7</v>
      </c>
      <c r="O320">
        <v>783617.89</v>
      </c>
      <c r="P320">
        <v>516599.796875</v>
      </c>
    </row>
    <row r="321" spans="1:16" x14ac:dyDescent="0.25">
      <c r="A321" s="28">
        <v>42128.698159722226</v>
      </c>
      <c r="B321">
        <v>4</v>
      </c>
      <c r="C321">
        <v>48</v>
      </c>
      <c r="D321">
        <v>24</v>
      </c>
      <c r="E321">
        <v>2</v>
      </c>
      <c r="F321">
        <v>1.8798828125</v>
      </c>
      <c r="G321">
        <v>1.8798828125</v>
      </c>
      <c r="H321">
        <v>2.7810405426504872</v>
      </c>
      <c r="I321">
        <v>1.7132998087508506</v>
      </c>
      <c r="J321">
        <v>1.0487612366888466</v>
      </c>
      <c r="K321">
        <v>1.6997686966176949E-2</v>
      </c>
      <c r="L321">
        <v>97.218959457349513</v>
      </c>
      <c r="M321">
        <v>21821.05</v>
      </c>
      <c r="N321">
        <v>762815.12</v>
      </c>
      <c r="O321">
        <v>784636.17</v>
      </c>
      <c r="P321">
        <v>451959.83203125</v>
      </c>
    </row>
    <row r="322" spans="1:16" x14ac:dyDescent="0.25">
      <c r="A322" s="28">
        <v>42128.708599537036</v>
      </c>
      <c r="B322">
        <v>1</v>
      </c>
      <c r="C322">
        <v>48</v>
      </c>
      <c r="D322">
        <v>24</v>
      </c>
      <c r="E322">
        <v>2</v>
      </c>
      <c r="F322">
        <v>1.8291015625</v>
      </c>
      <c r="G322">
        <v>1.8291015625</v>
      </c>
      <c r="H322">
        <v>3.3804587266621384</v>
      </c>
      <c r="I322">
        <v>2.162554039727532</v>
      </c>
      <c r="J322">
        <v>1.1971923676754082</v>
      </c>
      <c r="K322">
        <v>8.7098391980853593E-3</v>
      </c>
      <c r="L322">
        <v>96.619541273337859</v>
      </c>
      <c r="M322">
        <v>27956.25</v>
      </c>
      <c r="N322">
        <v>799039.5</v>
      </c>
      <c r="O322">
        <v>826995.75</v>
      </c>
      <c r="P322">
        <v>516599.796875</v>
      </c>
    </row>
    <row r="323" spans="1:16" x14ac:dyDescent="0.25">
      <c r="A323" s="28">
        <v>42128.708599537036</v>
      </c>
      <c r="B323">
        <v>2</v>
      </c>
      <c r="C323">
        <v>48</v>
      </c>
      <c r="D323">
        <v>24</v>
      </c>
      <c r="E323">
        <v>2</v>
      </c>
      <c r="F323">
        <v>1.8193359375</v>
      </c>
      <c r="G323">
        <v>1.8193359375</v>
      </c>
      <c r="H323">
        <v>4.9982143718232583</v>
      </c>
      <c r="I323">
        <v>2.5188101274787451</v>
      </c>
      <c r="J323">
        <v>2.4572624549529216</v>
      </c>
      <c r="K323">
        <v>1.756743903696208E-2</v>
      </c>
      <c r="L323">
        <v>95.001785628176748</v>
      </c>
      <c r="M323">
        <v>41357.22</v>
      </c>
      <c r="N323">
        <v>786082.68</v>
      </c>
      <c r="O323">
        <v>827439.9</v>
      </c>
      <c r="P323">
        <v>516599.796875</v>
      </c>
    </row>
    <row r="324" spans="1:16" x14ac:dyDescent="0.25">
      <c r="A324" s="28">
        <v>42128.708599537036</v>
      </c>
      <c r="B324">
        <v>3</v>
      </c>
      <c r="C324">
        <v>48</v>
      </c>
      <c r="D324">
        <v>24</v>
      </c>
      <c r="E324">
        <v>2</v>
      </c>
      <c r="F324">
        <v>2.76953125</v>
      </c>
      <c r="G324">
        <v>2.76953125</v>
      </c>
      <c r="H324">
        <v>3.5210672474007469</v>
      </c>
      <c r="I324">
        <v>2.4183903006616507</v>
      </c>
      <c r="J324">
        <v>1.0403277480954489</v>
      </c>
      <c r="K324">
        <v>1.3288922103197921E-2</v>
      </c>
      <c r="L324">
        <v>96.478932752599249</v>
      </c>
      <c r="M324">
        <v>29111.439999999999</v>
      </c>
      <c r="N324">
        <v>797667.43</v>
      </c>
      <c r="O324">
        <v>826778.87</v>
      </c>
      <c r="P324">
        <v>516599.796875</v>
      </c>
    </row>
    <row r="325" spans="1:16" x14ac:dyDescent="0.25">
      <c r="A325" s="28">
        <v>42128.708599537036</v>
      </c>
      <c r="B325">
        <v>4</v>
      </c>
      <c r="C325">
        <v>48</v>
      </c>
      <c r="D325">
        <v>24</v>
      </c>
      <c r="E325">
        <v>2</v>
      </c>
      <c r="F325">
        <v>1.9892578125</v>
      </c>
      <c r="G325">
        <v>1.9892578125</v>
      </c>
      <c r="H325">
        <v>2.7535561862289071</v>
      </c>
      <c r="I325">
        <v>1.6949557703652278</v>
      </c>
      <c r="J325">
        <v>1.0398017309478294</v>
      </c>
      <c r="K325">
        <v>1.6909515526375377E-2</v>
      </c>
      <c r="L325">
        <v>97.246443813771094</v>
      </c>
      <c r="M325">
        <v>22796.06</v>
      </c>
      <c r="N325">
        <v>805081</v>
      </c>
      <c r="O325">
        <v>827877.06</v>
      </c>
      <c r="P325">
        <v>451959.83203125</v>
      </c>
    </row>
    <row r="326" spans="1:16" x14ac:dyDescent="0.25">
      <c r="A326" s="28">
        <v>42128.719074074077</v>
      </c>
      <c r="B326">
        <v>1</v>
      </c>
      <c r="C326">
        <v>48</v>
      </c>
      <c r="D326">
        <v>24</v>
      </c>
      <c r="E326">
        <v>2</v>
      </c>
      <c r="F326">
        <v>1.6396484375</v>
      </c>
      <c r="G326">
        <v>1.6396484375</v>
      </c>
      <c r="H326">
        <v>3.3559543368170996</v>
      </c>
      <c r="I326">
        <v>2.1474340436374555</v>
      </c>
      <c r="J326">
        <v>1.1880618737820234</v>
      </c>
      <c r="K326">
        <v>8.5298011320716193E-3</v>
      </c>
      <c r="L326">
        <v>96.644045663182894</v>
      </c>
      <c r="M326">
        <v>29197.09</v>
      </c>
      <c r="N326">
        <v>840811.47</v>
      </c>
      <c r="O326">
        <v>870008.56</v>
      </c>
      <c r="P326">
        <v>516599.796875</v>
      </c>
    </row>
    <row r="327" spans="1:16" x14ac:dyDescent="0.25">
      <c r="A327" s="28">
        <v>42128.719074074077</v>
      </c>
      <c r="B327">
        <v>2</v>
      </c>
      <c r="C327">
        <v>48</v>
      </c>
      <c r="D327">
        <v>24</v>
      </c>
      <c r="E327">
        <v>2</v>
      </c>
      <c r="F327">
        <v>2.0498046875</v>
      </c>
      <c r="G327">
        <v>2.0498046875</v>
      </c>
      <c r="H327">
        <v>4.9018170054580121</v>
      </c>
      <c r="I327">
        <v>2.492290188294596</v>
      </c>
      <c r="J327">
        <v>2.3877285415649747</v>
      </c>
      <c r="K327">
        <v>1.6990592679892065E-2</v>
      </c>
      <c r="L327">
        <v>95.098182994541986</v>
      </c>
      <c r="M327">
        <v>42669.42</v>
      </c>
      <c r="N327">
        <v>827812.28</v>
      </c>
      <c r="O327">
        <v>870481.7</v>
      </c>
      <c r="P327">
        <v>516599.796875</v>
      </c>
    </row>
    <row r="328" spans="1:16" x14ac:dyDescent="0.25">
      <c r="A328" s="28">
        <v>42128.719074074077</v>
      </c>
      <c r="B328">
        <v>3</v>
      </c>
      <c r="C328">
        <v>48</v>
      </c>
      <c r="D328">
        <v>24</v>
      </c>
      <c r="E328">
        <v>2</v>
      </c>
      <c r="F328">
        <v>2.259765625</v>
      </c>
      <c r="G328">
        <v>2.259765625</v>
      </c>
      <c r="H328">
        <v>3.5342250723892885</v>
      </c>
      <c r="I328">
        <v>2.4212076430137848</v>
      </c>
      <c r="J328">
        <v>1.046756824442199</v>
      </c>
      <c r="K328">
        <v>1.3318575897475295E-2</v>
      </c>
      <c r="L328">
        <v>96.46577492761071</v>
      </c>
      <c r="M328">
        <v>30739.37</v>
      </c>
      <c r="N328">
        <v>839023.29</v>
      </c>
      <c r="O328">
        <v>869762.66</v>
      </c>
      <c r="P328">
        <v>516599.796875</v>
      </c>
    </row>
    <row r="329" spans="1:16" x14ac:dyDescent="0.25">
      <c r="A329" s="28">
        <v>42128.719074074077</v>
      </c>
      <c r="B329">
        <v>4</v>
      </c>
      <c r="C329">
        <v>48</v>
      </c>
      <c r="D329">
        <v>24</v>
      </c>
      <c r="E329">
        <v>2</v>
      </c>
      <c r="F329">
        <v>3.0791015625</v>
      </c>
      <c r="G329">
        <v>3.0791015625</v>
      </c>
      <c r="H329">
        <v>2.7973948812214475</v>
      </c>
      <c r="I329">
        <v>1.7393573155135631</v>
      </c>
      <c r="J329">
        <v>1.0388207488252492</v>
      </c>
      <c r="K329">
        <v>1.7127033975943107E-2</v>
      </c>
      <c r="L329">
        <v>97.20260511877855</v>
      </c>
      <c r="M329">
        <v>24362.62</v>
      </c>
      <c r="N329">
        <v>846541.24</v>
      </c>
      <c r="O329">
        <v>870903.86</v>
      </c>
      <c r="P329">
        <v>451959.83203125</v>
      </c>
    </row>
    <row r="330" spans="1:16" x14ac:dyDescent="0.25">
      <c r="A330" s="28">
        <v>42128.729502314818</v>
      </c>
      <c r="B330">
        <v>1</v>
      </c>
      <c r="C330">
        <v>48</v>
      </c>
      <c r="D330">
        <v>24</v>
      </c>
      <c r="E330">
        <v>2</v>
      </c>
      <c r="F330">
        <v>2.689453125</v>
      </c>
      <c r="G330">
        <v>2.689453125</v>
      </c>
      <c r="H330">
        <v>3.3316829508252299</v>
      </c>
      <c r="I330">
        <v>2.1295749056474267</v>
      </c>
      <c r="J330">
        <v>1.1814904918563292</v>
      </c>
      <c r="K330">
        <v>8.4373405747798919E-3</v>
      </c>
      <c r="L330">
        <v>96.668317049174775</v>
      </c>
      <c r="M330">
        <v>30425.01</v>
      </c>
      <c r="N330">
        <v>882777.43</v>
      </c>
      <c r="O330">
        <v>913202.44</v>
      </c>
      <c r="P330">
        <v>516599.796875</v>
      </c>
    </row>
    <row r="331" spans="1:16" x14ac:dyDescent="0.25">
      <c r="A331" s="28">
        <v>42128.729502314818</v>
      </c>
      <c r="B331">
        <v>2</v>
      </c>
      <c r="C331">
        <v>48</v>
      </c>
      <c r="D331">
        <v>24</v>
      </c>
      <c r="E331">
        <v>2</v>
      </c>
      <c r="F331">
        <v>1.7099609375</v>
      </c>
      <c r="G331">
        <v>1.7099609375</v>
      </c>
      <c r="H331">
        <v>4.7967783586418404</v>
      </c>
      <c r="I331">
        <v>2.450435036629151</v>
      </c>
      <c r="J331">
        <v>2.324787556527248</v>
      </c>
      <c r="K331">
        <v>1.6557533307739875E-2</v>
      </c>
      <c r="L331">
        <v>95.203221641358155</v>
      </c>
      <c r="M331">
        <v>43829.27</v>
      </c>
      <c r="N331">
        <v>869893.79</v>
      </c>
      <c r="O331">
        <v>913723.06</v>
      </c>
      <c r="P331">
        <v>516599.796875</v>
      </c>
    </row>
    <row r="332" spans="1:16" x14ac:dyDescent="0.25">
      <c r="A332" s="28">
        <v>42128.729502314818</v>
      </c>
      <c r="B332">
        <v>3</v>
      </c>
      <c r="C332">
        <v>48</v>
      </c>
      <c r="D332">
        <v>24</v>
      </c>
      <c r="E332">
        <v>2</v>
      </c>
      <c r="F332">
        <v>2.2998046875</v>
      </c>
      <c r="G332">
        <v>2.2998046875</v>
      </c>
      <c r="H332">
        <v>3.5327305726375577</v>
      </c>
      <c r="I332">
        <v>2.4071071440862966</v>
      </c>
      <c r="J332">
        <v>1.05428572686674</v>
      </c>
      <c r="K332">
        <v>1.3355760232152096E-2</v>
      </c>
      <c r="L332">
        <v>96.467269427362439</v>
      </c>
      <c r="M332">
        <v>32251.69</v>
      </c>
      <c r="N332">
        <v>880687.73</v>
      </c>
      <c r="O332">
        <v>912939.42</v>
      </c>
      <c r="P332">
        <v>516599.796875</v>
      </c>
    </row>
    <row r="333" spans="1:16" x14ac:dyDescent="0.25">
      <c r="A333" s="28">
        <v>42128.729502314818</v>
      </c>
      <c r="B333">
        <v>4</v>
      </c>
      <c r="C333">
        <v>48</v>
      </c>
      <c r="D333">
        <v>24</v>
      </c>
      <c r="E333">
        <v>2</v>
      </c>
      <c r="F333">
        <v>2.0791015625</v>
      </c>
      <c r="G333">
        <v>2.0791015625</v>
      </c>
      <c r="H333">
        <v>2.7818090230573276</v>
      </c>
      <c r="I333">
        <v>1.72840145782937</v>
      </c>
      <c r="J333">
        <v>1.0343469682383331</v>
      </c>
      <c r="K333">
        <v>1.7037924593285323E-2</v>
      </c>
      <c r="L333">
        <v>97.218190976942665</v>
      </c>
      <c r="M333">
        <v>25429.55</v>
      </c>
      <c r="N333">
        <v>888707.61</v>
      </c>
      <c r="O333">
        <v>914137.16</v>
      </c>
      <c r="P333">
        <v>451959.83203125</v>
      </c>
    </row>
    <row r="334" spans="1:16" x14ac:dyDescent="0.25">
      <c r="A334" s="28">
        <v>42128.739976851852</v>
      </c>
      <c r="B334">
        <v>1</v>
      </c>
      <c r="C334">
        <v>48</v>
      </c>
      <c r="D334">
        <v>24</v>
      </c>
      <c r="E334">
        <v>2</v>
      </c>
      <c r="F334">
        <v>2.4296875</v>
      </c>
      <c r="G334">
        <v>2.4296875</v>
      </c>
      <c r="H334">
        <v>3.3042839583757488</v>
      </c>
      <c r="I334">
        <v>2.110300141085331</v>
      </c>
      <c r="J334">
        <v>1.1735459587337433</v>
      </c>
      <c r="K334">
        <v>8.3255279112565035E-3</v>
      </c>
      <c r="L334">
        <v>96.695716041624252</v>
      </c>
      <c r="M334">
        <v>31596.080000000002</v>
      </c>
      <c r="N334">
        <v>924619.56</v>
      </c>
      <c r="O334">
        <v>956215.64</v>
      </c>
      <c r="P334">
        <v>516599.796875</v>
      </c>
    </row>
    <row r="335" spans="1:16" x14ac:dyDescent="0.25">
      <c r="A335" s="28">
        <v>42128.739976851852</v>
      </c>
      <c r="B335">
        <v>2</v>
      </c>
      <c r="C335">
        <v>48</v>
      </c>
      <c r="D335">
        <v>24</v>
      </c>
      <c r="E335">
        <v>2</v>
      </c>
      <c r="F335">
        <v>1.849609375</v>
      </c>
      <c r="G335">
        <v>1.849609375</v>
      </c>
      <c r="H335">
        <v>4.7026635877949046</v>
      </c>
      <c r="I335">
        <v>2.4147570956951867</v>
      </c>
      <c r="J335">
        <v>2.2666434847209498</v>
      </c>
      <c r="K335">
        <v>1.6108212235625353E-2</v>
      </c>
      <c r="L335">
        <v>95.297336412205098</v>
      </c>
      <c r="M335">
        <v>44994.1</v>
      </c>
      <c r="N335">
        <v>911784.95</v>
      </c>
      <c r="O335">
        <v>956779.05</v>
      </c>
      <c r="P335">
        <v>516599.796875</v>
      </c>
    </row>
    <row r="336" spans="1:16" x14ac:dyDescent="0.25">
      <c r="A336" s="28">
        <v>42128.739976851852</v>
      </c>
      <c r="B336">
        <v>3</v>
      </c>
      <c r="C336">
        <v>48</v>
      </c>
      <c r="D336">
        <v>24</v>
      </c>
      <c r="E336">
        <v>2</v>
      </c>
      <c r="F336">
        <v>2.3896484375</v>
      </c>
      <c r="G336">
        <v>2.3896484375</v>
      </c>
      <c r="H336">
        <v>3.5217640801479391</v>
      </c>
      <c r="I336">
        <v>2.3970692979720156</v>
      </c>
      <c r="J336">
        <v>1.0526097321732162</v>
      </c>
      <c r="K336">
        <v>1.3394142713356224E-2</v>
      </c>
      <c r="L336">
        <v>96.478235919852068</v>
      </c>
      <c r="M336">
        <v>33665.96</v>
      </c>
      <c r="N336">
        <v>922274.28</v>
      </c>
      <c r="O336">
        <v>955940.24</v>
      </c>
      <c r="P336">
        <v>516599.796875</v>
      </c>
    </row>
    <row r="337" spans="1:16" x14ac:dyDescent="0.25">
      <c r="A337" s="28">
        <v>42128.739976851852</v>
      </c>
      <c r="B337">
        <v>4</v>
      </c>
      <c r="C337">
        <v>48</v>
      </c>
      <c r="D337">
        <v>24</v>
      </c>
      <c r="E337">
        <v>2</v>
      </c>
      <c r="F337">
        <v>1.6796875</v>
      </c>
      <c r="G337">
        <v>1.6796875</v>
      </c>
      <c r="H337">
        <v>2.769912786017664</v>
      </c>
      <c r="I337">
        <v>1.7220301051331324</v>
      </c>
      <c r="J337">
        <v>1.0288132869494242</v>
      </c>
      <c r="K337">
        <v>1.7069787295552495E-2</v>
      </c>
      <c r="L337">
        <v>97.23008721398233</v>
      </c>
      <c r="M337">
        <v>26513.279999999999</v>
      </c>
      <c r="N337">
        <v>930674.98</v>
      </c>
      <c r="O337">
        <v>957188.26</v>
      </c>
      <c r="P337">
        <v>451959.83203125</v>
      </c>
    </row>
    <row r="338" spans="1:16" x14ac:dyDescent="0.25">
      <c r="A338" s="28">
        <v>42128.750405092593</v>
      </c>
      <c r="B338">
        <v>1</v>
      </c>
      <c r="C338">
        <v>48</v>
      </c>
      <c r="D338">
        <v>24</v>
      </c>
      <c r="E338">
        <v>2</v>
      </c>
      <c r="F338">
        <v>2.3994140625</v>
      </c>
      <c r="G338">
        <v>2.3994140625</v>
      </c>
      <c r="H338">
        <v>3.2748999175739106</v>
      </c>
      <c r="I338">
        <v>2.088489132956767</v>
      </c>
      <c r="J338">
        <v>1.1661762248154748</v>
      </c>
      <c r="K338">
        <v>8.2567169798434155E-3</v>
      </c>
      <c r="L338">
        <v>96.725100082426096</v>
      </c>
      <c r="M338">
        <v>32730.29</v>
      </c>
      <c r="N338">
        <v>966698.42</v>
      </c>
      <c r="O338">
        <v>999428.71</v>
      </c>
      <c r="P338">
        <v>516599.796875</v>
      </c>
    </row>
    <row r="339" spans="1:16" x14ac:dyDescent="0.25">
      <c r="A339" s="28">
        <v>42128.750405092593</v>
      </c>
      <c r="B339">
        <v>2</v>
      </c>
      <c r="C339">
        <v>48</v>
      </c>
      <c r="D339">
        <v>24</v>
      </c>
      <c r="E339">
        <v>2</v>
      </c>
      <c r="F339">
        <v>1.9697265625</v>
      </c>
      <c r="G339">
        <v>1.9697265625</v>
      </c>
      <c r="H339">
        <v>4.6145320398150576</v>
      </c>
      <c r="I339">
        <v>2.379354755046049</v>
      </c>
      <c r="J339">
        <v>2.2141575077888422</v>
      </c>
      <c r="K339">
        <v>1.5611834358437457E-2</v>
      </c>
      <c r="L339">
        <v>95.38546796018494</v>
      </c>
      <c r="M339">
        <v>46145.81</v>
      </c>
      <c r="N339">
        <v>953864.8</v>
      </c>
      <c r="O339">
        <v>1000010.61</v>
      </c>
      <c r="P339">
        <v>516599.796875</v>
      </c>
    </row>
    <row r="340" spans="1:16" x14ac:dyDescent="0.25">
      <c r="A340" s="28">
        <v>42128.750405092593</v>
      </c>
      <c r="B340">
        <v>3</v>
      </c>
      <c r="C340">
        <v>48</v>
      </c>
      <c r="D340">
        <v>24</v>
      </c>
      <c r="E340">
        <v>2</v>
      </c>
      <c r="F340">
        <v>2.26953125</v>
      </c>
      <c r="G340">
        <v>2.26953125</v>
      </c>
      <c r="H340">
        <v>3.5084700896768028</v>
      </c>
      <c r="I340">
        <v>2.3862829938515593</v>
      </c>
      <c r="J340">
        <v>1.0524347349222123</v>
      </c>
      <c r="K340">
        <v>1.3484669093246531E-2</v>
      </c>
      <c r="L340">
        <v>96.491529910323194</v>
      </c>
      <c r="M340">
        <v>35054.339999999997</v>
      </c>
      <c r="N340">
        <v>964080.3</v>
      </c>
      <c r="O340">
        <v>999134.64</v>
      </c>
      <c r="P340">
        <v>516599.796875</v>
      </c>
    </row>
    <row r="341" spans="1:16" x14ac:dyDescent="0.25">
      <c r="A341" s="28">
        <v>42128.750405092593</v>
      </c>
      <c r="B341">
        <v>4</v>
      </c>
      <c r="C341">
        <v>48</v>
      </c>
      <c r="D341">
        <v>24</v>
      </c>
      <c r="E341">
        <v>2</v>
      </c>
      <c r="F341">
        <v>2.26953125</v>
      </c>
      <c r="G341">
        <v>2.26953125</v>
      </c>
      <c r="H341">
        <v>2.7506167812520008</v>
      </c>
      <c r="I341">
        <v>1.7088952422165233</v>
      </c>
      <c r="J341">
        <v>1.0228006299946018</v>
      </c>
      <c r="K341">
        <v>1.7396560882635366E-2</v>
      </c>
      <c r="L341">
        <v>97.249383218747994</v>
      </c>
      <c r="M341">
        <v>27517.93</v>
      </c>
      <c r="N341">
        <v>972909.69</v>
      </c>
      <c r="O341">
        <v>1000427.62</v>
      </c>
      <c r="P341">
        <v>451959.83203125</v>
      </c>
    </row>
    <row r="342" spans="1:16" x14ac:dyDescent="0.25">
      <c r="A342" s="28">
        <v>42128.760879629626</v>
      </c>
      <c r="B342">
        <v>1</v>
      </c>
      <c r="C342">
        <v>48</v>
      </c>
      <c r="D342">
        <v>24</v>
      </c>
      <c r="E342">
        <v>2</v>
      </c>
      <c r="F342">
        <v>1.779296875</v>
      </c>
      <c r="G342">
        <v>1.779296875</v>
      </c>
      <c r="H342">
        <v>3.2574101164087819</v>
      </c>
      <c r="I342">
        <v>2.0780189326196918</v>
      </c>
      <c r="J342">
        <v>1.1593393935152185</v>
      </c>
      <c r="K342">
        <v>8.2152577096797769E-3</v>
      </c>
      <c r="L342">
        <v>96.742589883591222</v>
      </c>
      <c r="M342">
        <v>33956.89</v>
      </c>
      <c r="N342">
        <v>1008493.67</v>
      </c>
      <c r="O342">
        <v>1042450.56</v>
      </c>
      <c r="P342">
        <v>516599.796875</v>
      </c>
    </row>
    <row r="343" spans="1:16" x14ac:dyDescent="0.25">
      <c r="A343" s="28">
        <v>42128.760879629626</v>
      </c>
      <c r="B343">
        <v>2</v>
      </c>
      <c r="C343">
        <v>48</v>
      </c>
      <c r="D343">
        <v>24</v>
      </c>
      <c r="E343">
        <v>2</v>
      </c>
      <c r="F343">
        <v>1.7294921875</v>
      </c>
      <c r="G343">
        <v>1.7294921875</v>
      </c>
      <c r="H343">
        <v>4.5490097229253603</v>
      </c>
      <c r="I343">
        <v>2.3625082068418863</v>
      </c>
      <c r="J343">
        <v>2.165738620755099</v>
      </c>
      <c r="K343">
        <v>1.5240695712017751E-2</v>
      </c>
      <c r="L343">
        <v>95.450990277074638</v>
      </c>
      <c r="M343">
        <v>47449.02</v>
      </c>
      <c r="N343">
        <v>995613.6</v>
      </c>
      <c r="O343">
        <v>1043062.62</v>
      </c>
      <c r="P343">
        <v>516599.796875</v>
      </c>
    </row>
    <row r="344" spans="1:16" x14ac:dyDescent="0.25">
      <c r="A344" s="28">
        <v>42128.760879629626</v>
      </c>
      <c r="B344">
        <v>3</v>
      </c>
      <c r="C344">
        <v>48</v>
      </c>
      <c r="D344">
        <v>24</v>
      </c>
      <c r="E344">
        <v>2</v>
      </c>
      <c r="F344">
        <v>2.26953125</v>
      </c>
      <c r="G344">
        <v>2.26953125</v>
      </c>
      <c r="H344">
        <v>3.5037707793288111</v>
      </c>
      <c r="I344">
        <v>2.386737531692638</v>
      </c>
      <c r="J344">
        <v>1.049400472676169</v>
      </c>
      <c r="K344">
        <v>1.3392600203123823E-2</v>
      </c>
      <c r="L344">
        <v>96.496229220671182</v>
      </c>
      <c r="M344">
        <v>36514.29</v>
      </c>
      <c r="N344">
        <v>1005628.37</v>
      </c>
      <c r="O344">
        <v>1042142.66</v>
      </c>
      <c r="P344">
        <v>516599.796875</v>
      </c>
    </row>
    <row r="345" spans="1:16" x14ac:dyDescent="0.25">
      <c r="A345" s="28">
        <v>42128.760879629626</v>
      </c>
      <c r="B345">
        <v>4</v>
      </c>
      <c r="C345">
        <v>48</v>
      </c>
      <c r="D345">
        <v>24</v>
      </c>
      <c r="E345">
        <v>2</v>
      </c>
      <c r="F345">
        <v>2.2998046875</v>
      </c>
      <c r="G345">
        <v>2.2998046875</v>
      </c>
      <c r="H345">
        <v>2.7455676485418881</v>
      </c>
      <c r="I345">
        <v>1.7080974372366828</v>
      </c>
      <c r="J345">
        <v>1.0184445846303585</v>
      </c>
      <c r="K345">
        <v>1.7361016110488205E-2</v>
      </c>
      <c r="L345">
        <v>97.254432351458107</v>
      </c>
      <c r="M345">
        <v>28649.65</v>
      </c>
      <c r="N345">
        <v>1014837.66</v>
      </c>
      <c r="O345">
        <v>1043487.31</v>
      </c>
      <c r="P345">
        <v>451959.83203125</v>
      </c>
    </row>
    <row r="346" spans="1:16" x14ac:dyDescent="0.25">
      <c r="A346" s="28">
        <v>42128.771307870367</v>
      </c>
      <c r="B346">
        <v>1</v>
      </c>
      <c r="C346">
        <v>48</v>
      </c>
      <c r="D346">
        <v>24</v>
      </c>
      <c r="E346">
        <v>2</v>
      </c>
      <c r="F346">
        <v>2.08984375</v>
      </c>
      <c r="G346">
        <v>2.08984375</v>
      </c>
      <c r="H346">
        <v>3.228442934571631</v>
      </c>
      <c r="I346">
        <v>2.0558424070701138</v>
      </c>
      <c r="J346">
        <v>1.1527373247396162</v>
      </c>
      <c r="K346">
        <v>8.1693201972236774E-3</v>
      </c>
      <c r="L346">
        <v>96.771557065428368</v>
      </c>
      <c r="M346">
        <v>35045.550000000003</v>
      </c>
      <c r="N346">
        <v>1050479.29</v>
      </c>
      <c r="O346">
        <v>1085524.8400000001</v>
      </c>
      <c r="P346">
        <v>516599.796875</v>
      </c>
    </row>
    <row r="347" spans="1:16" x14ac:dyDescent="0.25">
      <c r="A347" s="28">
        <v>42128.771307870367</v>
      </c>
      <c r="B347">
        <v>2</v>
      </c>
      <c r="C347">
        <v>48</v>
      </c>
      <c r="D347">
        <v>24</v>
      </c>
      <c r="E347">
        <v>2</v>
      </c>
      <c r="F347">
        <v>1.9892578125</v>
      </c>
      <c r="G347">
        <v>1.9892578125</v>
      </c>
      <c r="H347">
        <v>4.4747476142468479</v>
      </c>
      <c r="I347">
        <v>2.3321097285328252</v>
      </c>
      <c r="J347">
        <v>2.122095319642586</v>
      </c>
      <c r="K347">
        <v>1.4850824252970395E-2</v>
      </c>
      <c r="L347">
        <v>95.525252385753149</v>
      </c>
      <c r="M347">
        <v>48601.8</v>
      </c>
      <c r="N347">
        <v>1037533.2</v>
      </c>
      <c r="O347">
        <v>1086135</v>
      </c>
      <c r="P347">
        <v>516599.796875</v>
      </c>
    </row>
    <row r="348" spans="1:16" x14ac:dyDescent="0.25">
      <c r="A348" s="28">
        <v>42128.771307870367</v>
      </c>
      <c r="B348">
        <v>3</v>
      </c>
      <c r="C348">
        <v>48</v>
      </c>
      <c r="D348">
        <v>24</v>
      </c>
      <c r="E348">
        <v>2</v>
      </c>
      <c r="F348">
        <v>1.939453125</v>
      </c>
      <c r="G348">
        <v>1.939453125</v>
      </c>
      <c r="H348">
        <v>3.4963913114285838</v>
      </c>
      <c r="I348">
        <v>2.3818956282101578</v>
      </c>
      <c r="J348">
        <v>1.0485473173627389</v>
      </c>
      <c r="K348">
        <v>1.3439216494415578E-2</v>
      </c>
      <c r="L348">
        <v>96.503608688571418</v>
      </c>
      <c r="M348">
        <v>37942.22</v>
      </c>
      <c r="N348">
        <v>1047240.09</v>
      </c>
      <c r="O348">
        <v>1085182.31</v>
      </c>
      <c r="P348">
        <v>516599.796875</v>
      </c>
    </row>
    <row r="349" spans="1:16" x14ac:dyDescent="0.25">
      <c r="A349" s="28">
        <v>42128.771307870367</v>
      </c>
      <c r="B349">
        <v>4</v>
      </c>
      <c r="C349">
        <v>48</v>
      </c>
      <c r="D349">
        <v>24</v>
      </c>
      <c r="E349">
        <v>2</v>
      </c>
      <c r="F349">
        <v>1.8291015625</v>
      </c>
      <c r="G349">
        <v>1.8291015625</v>
      </c>
      <c r="H349">
        <v>2.7282641817799127</v>
      </c>
      <c r="I349">
        <v>1.6947251499436891</v>
      </c>
      <c r="J349">
        <v>1.0145147350178025</v>
      </c>
      <c r="K349">
        <v>1.7254487772809898E-2</v>
      </c>
      <c r="L349">
        <v>97.271735818220094</v>
      </c>
      <c r="M349">
        <v>29644.17</v>
      </c>
      <c r="N349">
        <v>1056913.73</v>
      </c>
      <c r="O349">
        <v>1086557.8999999999</v>
      </c>
      <c r="P349">
        <v>451959.83203125</v>
      </c>
    </row>
    <row r="350" spans="1:16" x14ac:dyDescent="0.25">
      <c r="A350" s="28">
        <v>42128.781747685185</v>
      </c>
      <c r="B350">
        <v>1</v>
      </c>
      <c r="C350">
        <v>48</v>
      </c>
      <c r="D350">
        <v>24</v>
      </c>
      <c r="E350">
        <v>2</v>
      </c>
      <c r="F350">
        <v>2.4892578125</v>
      </c>
      <c r="G350">
        <v>2.4892578125</v>
      </c>
      <c r="H350">
        <v>3.2070853626252882</v>
      </c>
      <c r="I350">
        <v>2.0406925419159321</v>
      </c>
      <c r="J350">
        <v>1.1466909757105246</v>
      </c>
      <c r="K350">
        <v>8.1105958115635576E-3</v>
      </c>
      <c r="L350">
        <v>96.792914637374707</v>
      </c>
      <c r="M350">
        <v>36192.720000000001</v>
      </c>
      <c r="N350">
        <v>1092331.03</v>
      </c>
      <c r="O350">
        <v>1128523.75</v>
      </c>
      <c r="P350">
        <v>516599.796875</v>
      </c>
    </row>
    <row r="351" spans="1:16" x14ac:dyDescent="0.25">
      <c r="A351" s="28">
        <v>42128.781747685185</v>
      </c>
      <c r="B351">
        <v>2</v>
      </c>
      <c r="C351">
        <v>48</v>
      </c>
      <c r="D351">
        <v>24</v>
      </c>
      <c r="E351">
        <v>2</v>
      </c>
      <c r="F351">
        <v>1.94921875</v>
      </c>
      <c r="G351">
        <v>1.94921875</v>
      </c>
      <c r="H351">
        <v>4.4047267241651786</v>
      </c>
      <c r="I351">
        <v>2.3027522686348387</v>
      </c>
      <c r="J351">
        <v>2.0815843218859613</v>
      </c>
      <c r="K351">
        <v>1.4506184376951012E-2</v>
      </c>
      <c r="L351">
        <v>95.595273275834828</v>
      </c>
      <c r="M351">
        <v>49737.01</v>
      </c>
      <c r="N351">
        <v>1079436.56</v>
      </c>
      <c r="O351">
        <v>1129173.57</v>
      </c>
      <c r="P351">
        <v>516599.796875</v>
      </c>
    </row>
    <row r="352" spans="1:16" x14ac:dyDescent="0.25">
      <c r="A352" s="28">
        <v>42128.781747685185</v>
      </c>
      <c r="B352">
        <v>3</v>
      </c>
      <c r="C352">
        <v>48</v>
      </c>
      <c r="D352">
        <v>24</v>
      </c>
      <c r="E352">
        <v>2</v>
      </c>
      <c r="F352">
        <v>2.1298828125</v>
      </c>
      <c r="G352">
        <v>2.1298828125</v>
      </c>
      <c r="H352">
        <v>3.4811489265700502</v>
      </c>
      <c r="I352">
        <v>2.3705482378596829</v>
      </c>
      <c r="J352">
        <v>1.0464447116928126</v>
      </c>
      <c r="K352">
        <v>1.3373842982644957E-2</v>
      </c>
      <c r="L352">
        <v>96.518851073429957</v>
      </c>
      <c r="M352">
        <v>39273.360000000001</v>
      </c>
      <c r="N352">
        <v>1088899</v>
      </c>
      <c r="O352">
        <v>1128172.3600000001</v>
      </c>
      <c r="P352">
        <v>516599.796875</v>
      </c>
    </row>
    <row r="353" spans="1:16" x14ac:dyDescent="0.25">
      <c r="A353" s="28">
        <v>42128.781747685185</v>
      </c>
      <c r="B353">
        <v>4</v>
      </c>
      <c r="C353">
        <v>48</v>
      </c>
      <c r="D353">
        <v>24</v>
      </c>
      <c r="E353">
        <v>2</v>
      </c>
      <c r="F353">
        <v>1.849609375</v>
      </c>
      <c r="G353">
        <v>1.849609375</v>
      </c>
      <c r="H353">
        <v>2.7146200690109601</v>
      </c>
      <c r="I353">
        <v>1.6854419038300383</v>
      </c>
      <c r="J353">
        <v>1.0101589017673194</v>
      </c>
      <c r="K353">
        <v>1.7234547576615723E-2</v>
      </c>
      <c r="L353">
        <v>97.285379930989038</v>
      </c>
      <c r="M353">
        <v>30664.12</v>
      </c>
      <c r="N353">
        <v>1098927.47</v>
      </c>
      <c r="O353">
        <v>1129591.5900000001</v>
      </c>
      <c r="P353">
        <v>451959.83203125</v>
      </c>
    </row>
    <row r="354" spans="1:16" x14ac:dyDescent="0.25">
      <c r="A354" s="28">
        <v>42128.792175925926</v>
      </c>
      <c r="B354">
        <v>1</v>
      </c>
      <c r="C354">
        <v>48</v>
      </c>
      <c r="D354">
        <v>24</v>
      </c>
      <c r="E354">
        <v>2</v>
      </c>
      <c r="F354">
        <v>2.9296875</v>
      </c>
      <c r="G354">
        <v>2.9296875</v>
      </c>
      <c r="H354">
        <v>3.2100683299265977</v>
      </c>
      <c r="I354">
        <v>2.0445969805161157</v>
      </c>
      <c r="J354">
        <v>1.1458916151166441</v>
      </c>
      <c r="K354">
        <v>8.0545109772715891E-3</v>
      </c>
      <c r="L354">
        <v>96.7899316700734</v>
      </c>
      <c r="M354">
        <v>37606.51</v>
      </c>
      <c r="N354">
        <v>1133910.92</v>
      </c>
      <c r="O354">
        <v>1171517.43</v>
      </c>
      <c r="P354">
        <v>516599.796875</v>
      </c>
    </row>
    <row r="355" spans="1:16" x14ac:dyDescent="0.25">
      <c r="A355" s="28">
        <v>42128.792175925926</v>
      </c>
      <c r="B355">
        <v>2</v>
      </c>
      <c r="C355">
        <v>48</v>
      </c>
      <c r="D355">
        <v>24</v>
      </c>
      <c r="E355">
        <v>2</v>
      </c>
      <c r="F355">
        <v>2.2197265625</v>
      </c>
      <c r="G355">
        <v>2.2197265625</v>
      </c>
      <c r="H355">
        <v>4.3426783054618125</v>
      </c>
      <c r="I355">
        <v>2.2798832048391491</v>
      </c>
      <c r="J355">
        <v>2.0426100836704397</v>
      </c>
      <c r="K355">
        <v>1.416986313243038E-2</v>
      </c>
      <c r="L355">
        <v>95.657321694538183</v>
      </c>
      <c r="M355">
        <v>50905.14</v>
      </c>
      <c r="N355">
        <v>1121300.96</v>
      </c>
      <c r="O355">
        <v>1172206.1000000001</v>
      </c>
      <c r="P355">
        <v>516599.796875</v>
      </c>
    </row>
    <row r="356" spans="1:16" x14ac:dyDescent="0.25">
      <c r="A356" s="28">
        <v>42128.792175925926</v>
      </c>
      <c r="B356">
        <v>3</v>
      </c>
      <c r="C356">
        <v>48</v>
      </c>
      <c r="D356">
        <v>24</v>
      </c>
      <c r="E356">
        <v>2</v>
      </c>
      <c r="F356">
        <v>2.4599609375</v>
      </c>
      <c r="G356">
        <v>2.4599609375</v>
      </c>
      <c r="H356">
        <v>3.4741455163489547</v>
      </c>
      <c r="I356">
        <v>2.3670128902059111</v>
      </c>
      <c r="J356">
        <v>1.0446441798540849</v>
      </c>
      <c r="K356">
        <v>1.3645439715564178E-2</v>
      </c>
      <c r="L356">
        <v>96.525854483651045</v>
      </c>
      <c r="M356">
        <v>40687.82</v>
      </c>
      <c r="N356">
        <v>1130472.68</v>
      </c>
      <c r="O356">
        <v>1171160.5</v>
      </c>
      <c r="P356">
        <v>516599.796875</v>
      </c>
    </row>
    <row r="357" spans="1:16" x14ac:dyDescent="0.25">
      <c r="A357" s="28">
        <v>42128.792175925926</v>
      </c>
      <c r="B357">
        <v>4</v>
      </c>
      <c r="C357">
        <v>48</v>
      </c>
      <c r="D357">
        <v>24</v>
      </c>
      <c r="E357">
        <v>2</v>
      </c>
      <c r="F357">
        <v>1.609375</v>
      </c>
      <c r="G357">
        <v>1.609375</v>
      </c>
      <c r="H357">
        <v>2.6969673146009581</v>
      </c>
      <c r="I357">
        <v>1.6724827823098565</v>
      </c>
      <c r="J357">
        <v>1.0056260641733186</v>
      </c>
      <c r="K357">
        <v>1.7341365161215299E-2</v>
      </c>
      <c r="L357">
        <v>97.303032685399046</v>
      </c>
      <c r="M357">
        <v>31625.439999999999</v>
      </c>
      <c r="N357">
        <v>1141004.27</v>
      </c>
      <c r="O357">
        <v>1172629.71</v>
      </c>
      <c r="P357">
        <v>451959.83203125</v>
      </c>
    </row>
    <row r="358" spans="1:16" x14ac:dyDescent="0.25">
      <c r="A358" s="28">
        <v>42128.802604166667</v>
      </c>
      <c r="B358">
        <v>1</v>
      </c>
      <c r="C358">
        <v>48</v>
      </c>
      <c r="D358">
        <v>24</v>
      </c>
      <c r="E358">
        <v>2</v>
      </c>
      <c r="F358">
        <v>2.4794921875</v>
      </c>
      <c r="G358">
        <v>2.4794921875</v>
      </c>
      <c r="H358">
        <v>3.2085241348876048</v>
      </c>
      <c r="I358">
        <v>2.0476288995239407</v>
      </c>
      <c r="J358">
        <v>1.1413746074126958</v>
      </c>
      <c r="K358">
        <v>8.0682737173756423E-3</v>
      </c>
      <c r="L358">
        <v>96.791475865112389</v>
      </c>
      <c r="M358">
        <v>38967.85</v>
      </c>
      <c r="N358">
        <v>1175542.26</v>
      </c>
      <c r="O358">
        <v>1214510.1100000001</v>
      </c>
      <c r="P358">
        <v>516599.796875</v>
      </c>
    </row>
    <row r="359" spans="1:16" x14ac:dyDescent="0.25">
      <c r="A359" s="28">
        <v>42128.802604166667</v>
      </c>
      <c r="B359">
        <v>2</v>
      </c>
      <c r="C359">
        <v>48</v>
      </c>
      <c r="D359">
        <v>24</v>
      </c>
      <c r="E359">
        <v>2</v>
      </c>
      <c r="F359">
        <v>2.44921875</v>
      </c>
      <c r="G359">
        <v>2.44921875</v>
      </c>
      <c r="H359">
        <v>4.303605796835261</v>
      </c>
      <c r="I359">
        <v>2.2759354511384164</v>
      </c>
      <c r="J359">
        <v>2.0076139800102064</v>
      </c>
      <c r="K359">
        <v>1.395873019909109E-2</v>
      </c>
      <c r="L359">
        <v>95.696394203164743</v>
      </c>
      <c r="M359">
        <v>52298.5</v>
      </c>
      <c r="N359">
        <v>1162926.6499999999</v>
      </c>
      <c r="O359">
        <v>1215225.1499999999</v>
      </c>
      <c r="P359">
        <v>516599.796875</v>
      </c>
    </row>
    <row r="360" spans="1:16" x14ac:dyDescent="0.25">
      <c r="A360" s="28">
        <v>42128.802604166667</v>
      </c>
      <c r="B360">
        <v>3</v>
      </c>
      <c r="C360">
        <v>48</v>
      </c>
      <c r="D360">
        <v>24</v>
      </c>
      <c r="E360">
        <v>2</v>
      </c>
      <c r="F360">
        <v>1.9794921875</v>
      </c>
      <c r="G360">
        <v>1.9794921875</v>
      </c>
      <c r="H360">
        <v>3.4822139319740222</v>
      </c>
      <c r="I360">
        <v>2.3770223911570114</v>
      </c>
      <c r="J360">
        <v>1.0441121772531401</v>
      </c>
      <c r="K360">
        <v>1.3548025179510098E-2</v>
      </c>
      <c r="L360">
        <v>96.517786068025984</v>
      </c>
      <c r="M360">
        <v>42278.44</v>
      </c>
      <c r="N360">
        <v>1171846.8500000001</v>
      </c>
      <c r="O360">
        <v>1214125.29</v>
      </c>
      <c r="P360">
        <v>516599.796875</v>
      </c>
    </row>
    <row r="361" spans="1:16" x14ac:dyDescent="0.25">
      <c r="A361" s="28">
        <v>42128.802604166667</v>
      </c>
      <c r="B361">
        <v>4</v>
      </c>
      <c r="C361">
        <v>48</v>
      </c>
      <c r="D361">
        <v>24</v>
      </c>
      <c r="E361">
        <v>2</v>
      </c>
      <c r="F361">
        <v>2.2099609375</v>
      </c>
      <c r="G361">
        <v>2.2099609375</v>
      </c>
      <c r="H361">
        <v>2.7068762031904501</v>
      </c>
      <c r="I361">
        <v>1.6845966022786822</v>
      </c>
      <c r="J361">
        <v>1.0032789561829898</v>
      </c>
      <c r="K361">
        <v>1.7287970803532643E-2</v>
      </c>
      <c r="L361">
        <v>97.293123796809553</v>
      </c>
      <c r="M361">
        <v>32905.949999999997</v>
      </c>
      <c r="N361">
        <v>1182737.01</v>
      </c>
      <c r="O361">
        <v>1215642.96</v>
      </c>
      <c r="P361">
        <v>451959.83203125</v>
      </c>
    </row>
    <row r="362" spans="1:16" x14ac:dyDescent="0.25">
      <c r="A362" s="28">
        <v>42128.813020833331</v>
      </c>
      <c r="B362">
        <v>1</v>
      </c>
      <c r="C362">
        <v>48</v>
      </c>
      <c r="D362">
        <v>24</v>
      </c>
      <c r="E362">
        <v>2</v>
      </c>
      <c r="F362">
        <v>2.2099609375</v>
      </c>
      <c r="G362">
        <v>2.2099609375</v>
      </c>
      <c r="H362">
        <v>3.1878653947671434</v>
      </c>
      <c r="I362">
        <v>2.0318898378862613</v>
      </c>
      <c r="J362">
        <v>1.1365972325168714</v>
      </c>
      <c r="K362">
        <v>8.0438327548725212E-3</v>
      </c>
      <c r="L362">
        <v>96.812134605232856</v>
      </c>
      <c r="M362">
        <v>40019.56</v>
      </c>
      <c r="N362">
        <v>1215352.1399999999</v>
      </c>
      <c r="O362">
        <v>1255371.7</v>
      </c>
      <c r="P362">
        <v>516599.796875</v>
      </c>
    </row>
    <row r="363" spans="1:16" x14ac:dyDescent="0.25">
      <c r="A363" s="28">
        <v>42128.813020833331</v>
      </c>
      <c r="B363">
        <v>2</v>
      </c>
      <c r="C363">
        <v>48</v>
      </c>
      <c r="D363">
        <v>24</v>
      </c>
      <c r="E363">
        <v>2</v>
      </c>
      <c r="F363">
        <v>1.919921875</v>
      </c>
      <c r="G363">
        <v>1.919921875</v>
      </c>
      <c r="H363">
        <v>4.2456719469493711</v>
      </c>
      <c r="I363">
        <v>2.2502046590860871</v>
      </c>
      <c r="J363">
        <v>1.9756490119163614</v>
      </c>
      <c r="K363">
        <v>1.3673129645231843E-2</v>
      </c>
      <c r="L363">
        <v>95.754328053050628</v>
      </c>
      <c r="M363">
        <v>53330.45</v>
      </c>
      <c r="N363">
        <v>1202782.8500000001</v>
      </c>
      <c r="O363">
        <v>1256113.3</v>
      </c>
      <c r="P363">
        <v>516599.796875</v>
      </c>
    </row>
    <row r="364" spans="1:16" x14ac:dyDescent="0.25">
      <c r="A364" s="28">
        <v>42128.813020833331</v>
      </c>
      <c r="B364">
        <v>3</v>
      </c>
      <c r="C364">
        <v>48</v>
      </c>
      <c r="D364">
        <v>24</v>
      </c>
      <c r="E364">
        <v>2</v>
      </c>
      <c r="F364">
        <v>1.9892578125</v>
      </c>
      <c r="G364">
        <v>1.9892578125</v>
      </c>
      <c r="H364">
        <v>3.4676023357591368</v>
      </c>
      <c r="I364">
        <v>2.3656838654293519</v>
      </c>
      <c r="J364">
        <v>1.0422865460061448</v>
      </c>
      <c r="K364">
        <v>1.347509216346298E-2</v>
      </c>
      <c r="L364">
        <v>96.532397664240861</v>
      </c>
      <c r="M364">
        <v>43517.79</v>
      </c>
      <c r="N364">
        <v>1211464.3500000001</v>
      </c>
      <c r="O364">
        <v>1254982.1399999999</v>
      </c>
      <c r="P364">
        <v>516599.796875</v>
      </c>
    </row>
    <row r="365" spans="1:16" x14ac:dyDescent="0.25">
      <c r="A365" s="28">
        <v>42128.813020833331</v>
      </c>
      <c r="B365">
        <v>4</v>
      </c>
      <c r="C365">
        <v>48</v>
      </c>
      <c r="D365">
        <v>24</v>
      </c>
      <c r="E365">
        <v>2</v>
      </c>
      <c r="F365">
        <v>1.8193359375</v>
      </c>
      <c r="G365">
        <v>1.8193359375</v>
      </c>
      <c r="H365">
        <v>2.690329274765801</v>
      </c>
      <c r="I365">
        <v>1.672093097880007</v>
      </c>
      <c r="J365">
        <v>0.999382648412525</v>
      </c>
      <c r="K365">
        <v>1.7175094891583538E-2</v>
      </c>
      <c r="L365">
        <v>97.309670725234199</v>
      </c>
      <c r="M365">
        <v>33804.76</v>
      </c>
      <c r="N365">
        <v>1222723.96</v>
      </c>
      <c r="O365">
        <v>1256528.72</v>
      </c>
      <c r="P365">
        <v>451959.83203125</v>
      </c>
    </row>
    <row r="366" spans="1:16" x14ac:dyDescent="0.25">
      <c r="A366" s="28">
        <v>42128.822928240741</v>
      </c>
      <c r="B366">
        <v>1</v>
      </c>
      <c r="C366">
        <v>48</v>
      </c>
      <c r="D366">
        <v>24</v>
      </c>
      <c r="E366">
        <v>2</v>
      </c>
      <c r="F366">
        <v>2.26953125</v>
      </c>
      <c r="G366">
        <v>2.26953125</v>
      </c>
      <c r="H366">
        <v>3.17345120314133</v>
      </c>
      <c r="I366">
        <v>2.0211095040504077</v>
      </c>
      <c r="J366">
        <v>1.1330455719624237</v>
      </c>
      <c r="K366">
        <v>7.9374904680412951E-3</v>
      </c>
      <c r="L366">
        <v>96.826548796858674</v>
      </c>
      <c r="M366">
        <v>41203.94</v>
      </c>
      <c r="N366">
        <v>1257191.32</v>
      </c>
      <c r="O366">
        <v>1298395.26</v>
      </c>
      <c r="P366">
        <v>516599.796875</v>
      </c>
    </row>
    <row r="367" spans="1:16" x14ac:dyDescent="0.25">
      <c r="A367" s="28">
        <v>42128.822928240741</v>
      </c>
      <c r="B367">
        <v>2</v>
      </c>
      <c r="C367">
        <v>48</v>
      </c>
      <c r="D367">
        <v>24</v>
      </c>
      <c r="E367">
        <v>2</v>
      </c>
      <c r="F367">
        <v>2.419921875</v>
      </c>
      <c r="G367">
        <v>2.419921875</v>
      </c>
      <c r="H367">
        <v>4.2105052981369724</v>
      </c>
      <c r="I367">
        <v>2.2439693581359306</v>
      </c>
      <c r="J367">
        <v>1.9469263243741395</v>
      </c>
      <c r="K367">
        <v>1.3441007539526199E-2</v>
      </c>
      <c r="L367">
        <v>95.789494701863021</v>
      </c>
      <c r="M367">
        <v>54701.14</v>
      </c>
      <c r="N367">
        <v>1244457.42</v>
      </c>
      <c r="O367">
        <v>1299158.56</v>
      </c>
      <c r="P367">
        <v>516599.796875</v>
      </c>
    </row>
    <row r="368" spans="1:16" x14ac:dyDescent="0.25">
      <c r="A368" s="28">
        <v>42128.822928240741</v>
      </c>
      <c r="B368">
        <v>3</v>
      </c>
      <c r="C368">
        <v>48</v>
      </c>
      <c r="D368">
        <v>24</v>
      </c>
      <c r="E368">
        <v>2</v>
      </c>
      <c r="F368">
        <v>3.0498046875</v>
      </c>
      <c r="G368">
        <v>3.0498046875</v>
      </c>
      <c r="H368">
        <v>3.4721900838489699</v>
      </c>
      <c r="I368">
        <v>2.3735642711682208</v>
      </c>
      <c r="J368">
        <v>1.0403726544180385</v>
      </c>
      <c r="K368">
        <v>1.3417671855041131E-2</v>
      </c>
      <c r="L368">
        <v>96.527809916151028</v>
      </c>
      <c r="M368">
        <v>45068.67</v>
      </c>
      <c r="N368">
        <v>1252921.04</v>
      </c>
      <c r="O368">
        <v>1297989.71</v>
      </c>
      <c r="P368">
        <v>516599.796875</v>
      </c>
    </row>
    <row r="369" spans="1:16" x14ac:dyDescent="0.25">
      <c r="A369" s="28">
        <v>42128.822928240741</v>
      </c>
      <c r="B369">
        <v>4</v>
      </c>
      <c r="C369">
        <v>48</v>
      </c>
      <c r="D369">
        <v>24</v>
      </c>
      <c r="E369">
        <v>2</v>
      </c>
      <c r="F369">
        <v>1.779296875</v>
      </c>
      <c r="G369">
        <v>1.779296875</v>
      </c>
      <c r="H369">
        <v>2.6768422901982878</v>
      </c>
      <c r="I369">
        <v>1.6618217960941286</v>
      </c>
      <c r="J369">
        <v>0.99615969469866794</v>
      </c>
      <c r="K369">
        <v>1.7200254951284952E-2</v>
      </c>
      <c r="L369">
        <v>97.323157709801706</v>
      </c>
      <c r="M369">
        <v>34787.54</v>
      </c>
      <c r="N369">
        <v>1264786.22</v>
      </c>
      <c r="O369">
        <v>1299573.76</v>
      </c>
      <c r="P369">
        <v>451959.83203125</v>
      </c>
    </row>
    <row r="370" spans="1:16" x14ac:dyDescent="0.25">
      <c r="A370" s="28">
        <v>42128.833356481482</v>
      </c>
      <c r="B370">
        <v>1</v>
      </c>
      <c r="C370">
        <v>48</v>
      </c>
      <c r="D370">
        <v>24</v>
      </c>
      <c r="E370">
        <v>2</v>
      </c>
      <c r="F370">
        <v>2.4892578125</v>
      </c>
      <c r="G370">
        <v>2.4892578125</v>
      </c>
      <c r="H370">
        <v>3.2128017401624533</v>
      </c>
      <c r="I370">
        <v>2.0623937456932393</v>
      </c>
      <c r="J370">
        <v>1.1310411778364646</v>
      </c>
      <c r="K370">
        <v>7.9082162004763153E-3</v>
      </c>
      <c r="L370">
        <v>96.787198259837552</v>
      </c>
      <c r="M370">
        <v>43092.13</v>
      </c>
      <c r="N370">
        <v>1298171.1499999999</v>
      </c>
      <c r="O370">
        <v>1341263.28</v>
      </c>
      <c r="P370">
        <v>516599.796875</v>
      </c>
    </row>
    <row r="371" spans="1:16" x14ac:dyDescent="0.25">
      <c r="A371" s="28">
        <v>42128.833356481482</v>
      </c>
      <c r="B371">
        <v>2</v>
      </c>
      <c r="C371">
        <v>48</v>
      </c>
      <c r="D371">
        <v>24</v>
      </c>
      <c r="E371">
        <v>2</v>
      </c>
      <c r="F371">
        <v>2.5791015625</v>
      </c>
      <c r="G371">
        <v>2.5791015625</v>
      </c>
      <c r="H371">
        <v>4.1659523414111499</v>
      </c>
      <c r="I371">
        <v>2.2320702075819256</v>
      </c>
      <c r="J371">
        <v>1.9145074273334501</v>
      </c>
      <c r="K371">
        <v>1.3128334503078196E-2</v>
      </c>
      <c r="L371">
        <v>95.834047658588844</v>
      </c>
      <c r="M371">
        <v>55909.54</v>
      </c>
      <c r="N371">
        <v>1286149.5</v>
      </c>
      <c r="O371">
        <v>1342059.04</v>
      </c>
      <c r="P371">
        <v>516599.796875</v>
      </c>
    </row>
    <row r="372" spans="1:16" x14ac:dyDescent="0.25">
      <c r="A372" s="28">
        <v>42128.833356481482</v>
      </c>
      <c r="B372">
        <v>3</v>
      </c>
      <c r="C372">
        <v>48</v>
      </c>
      <c r="D372">
        <v>24</v>
      </c>
      <c r="E372">
        <v>2</v>
      </c>
      <c r="F372">
        <v>2.8896484375</v>
      </c>
      <c r="G372">
        <v>2.8896484375</v>
      </c>
      <c r="H372">
        <v>3.484539709654916</v>
      </c>
      <c r="I372">
        <v>2.3896222901834254</v>
      </c>
      <c r="J372">
        <v>1.0379349075278355</v>
      </c>
      <c r="K372">
        <v>1.3457135599912528E-2</v>
      </c>
      <c r="L372">
        <v>96.515460290345089</v>
      </c>
      <c r="M372">
        <v>46722.45</v>
      </c>
      <c r="N372">
        <v>1294127.53</v>
      </c>
      <c r="O372">
        <v>1340849.98</v>
      </c>
      <c r="P372">
        <v>516599.796875</v>
      </c>
    </row>
    <row r="373" spans="1:16" x14ac:dyDescent="0.25">
      <c r="A373" s="28">
        <v>42128.833356481482</v>
      </c>
      <c r="B373">
        <v>4</v>
      </c>
      <c r="C373">
        <v>48</v>
      </c>
      <c r="D373">
        <v>24</v>
      </c>
      <c r="E373">
        <v>2</v>
      </c>
      <c r="F373">
        <v>2.4697265625</v>
      </c>
      <c r="G373">
        <v>2.4697265625</v>
      </c>
      <c r="H373">
        <v>2.6710034950445869</v>
      </c>
      <c r="I373">
        <v>1.6601977621450108</v>
      </c>
      <c r="J373">
        <v>0.99212174543735621</v>
      </c>
      <c r="K373">
        <v>1.7137603139309152E-2</v>
      </c>
      <c r="L373">
        <v>97.328996504955413</v>
      </c>
      <c r="M373">
        <v>35857.86</v>
      </c>
      <c r="N373">
        <v>1306628.5900000001</v>
      </c>
      <c r="O373">
        <v>1342486.45</v>
      </c>
      <c r="P373">
        <v>451959.83203125</v>
      </c>
    </row>
    <row r="374" spans="1:16" x14ac:dyDescent="0.25">
      <c r="A374" s="28">
        <v>42128.84375</v>
      </c>
      <c r="B374">
        <v>1</v>
      </c>
      <c r="C374">
        <v>48</v>
      </c>
      <c r="D374">
        <v>24</v>
      </c>
      <c r="E374">
        <v>2</v>
      </c>
      <c r="F374">
        <v>2.2890625</v>
      </c>
      <c r="G374">
        <v>2.2890625</v>
      </c>
      <c r="H374">
        <v>3.2328941929287227</v>
      </c>
      <c r="I374">
        <v>2.0854698740587847</v>
      </c>
      <c r="J374">
        <v>1.1281512953799371</v>
      </c>
      <c r="K374">
        <v>7.8669824883281503E-3</v>
      </c>
      <c r="L374">
        <v>96.767105807071275</v>
      </c>
      <c r="M374">
        <v>44751.87</v>
      </c>
      <c r="N374">
        <v>1339514.5900000001</v>
      </c>
      <c r="O374">
        <v>1384266.46</v>
      </c>
      <c r="P374">
        <v>516599.796875</v>
      </c>
    </row>
    <row r="375" spans="1:16" x14ac:dyDescent="0.25">
      <c r="A375" s="28">
        <v>42128.84375</v>
      </c>
      <c r="B375">
        <v>2</v>
      </c>
      <c r="C375">
        <v>48</v>
      </c>
      <c r="D375">
        <v>24</v>
      </c>
      <c r="E375">
        <v>2</v>
      </c>
      <c r="F375">
        <v>3.01953125</v>
      </c>
      <c r="G375">
        <v>3.01953125</v>
      </c>
      <c r="H375">
        <v>4.1335842779348928</v>
      </c>
      <c r="I375">
        <v>2.2318514011511583</v>
      </c>
      <c r="J375">
        <v>1.8826786915382985</v>
      </c>
      <c r="K375">
        <v>1.2908069793996188E-2</v>
      </c>
      <c r="L375">
        <v>95.866415722065113</v>
      </c>
      <c r="M375">
        <v>57254.38</v>
      </c>
      <c r="N375">
        <v>1327848.1399999999</v>
      </c>
      <c r="O375">
        <v>1385102.52</v>
      </c>
      <c r="P375">
        <v>516599.796875</v>
      </c>
    </row>
    <row r="376" spans="1:16" x14ac:dyDescent="0.25">
      <c r="A376" s="28">
        <v>42128.84375</v>
      </c>
      <c r="B376">
        <v>3</v>
      </c>
      <c r="C376">
        <v>48</v>
      </c>
      <c r="D376">
        <v>24</v>
      </c>
      <c r="E376">
        <v>2</v>
      </c>
      <c r="F376">
        <v>2.5693359375</v>
      </c>
      <c r="G376">
        <v>2.5693359375</v>
      </c>
      <c r="H376">
        <v>3.4918309198494262</v>
      </c>
      <c r="I376">
        <v>2.401238818709023</v>
      </c>
      <c r="J376">
        <v>1.0348858128399363</v>
      </c>
      <c r="K376">
        <v>1.3343957241064505E-2</v>
      </c>
      <c r="L376">
        <v>96.50816908015058</v>
      </c>
      <c r="M376">
        <v>48321.61</v>
      </c>
      <c r="N376">
        <v>1335525.75</v>
      </c>
      <c r="O376">
        <v>1383847.36</v>
      </c>
      <c r="P376">
        <v>516599.796875</v>
      </c>
    </row>
    <row r="377" spans="1:16" x14ac:dyDescent="0.25">
      <c r="A377" s="28">
        <v>42128.84375</v>
      </c>
      <c r="B377">
        <v>4</v>
      </c>
      <c r="C377">
        <v>48</v>
      </c>
      <c r="D377">
        <v>24</v>
      </c>
      <c r="E377">
        <v>2</v>
      </c>
      <c r="F377">
        <v>1.619140625</v>
      </c>
      <c r="G377">
        <v>1.619140625</v>
      </c>
      <c r="H377">
        <v>2.6727581341517843</v>
      </c>
      <c r="I377">
        <v>1.6657051538271863</v>
      </c>
      <c r="J377">
        <v>0.98844920089925192</v>
      </c>
      <c r="K377">
        <v>1.7140074247094739E-2</v>
      </c>
      <c r="L377">
        <v>97.327241865848222</v>
      </c>
      <c r="M377">
        <v>37031.730000000003</v>
      </c>
      <c r="N377">
        <v>1348493.19</v>
      </c>
      <c r="O377">
        <v>1385524.92</v>
      </c>
      <c r="P377">
        <v>451959.83203125</v>
      </c>
    </row>
    <row r="378" spans="1:16" x14ac:dyDescent="0.25">
      <c r="A378" s="28">
        <v>42128.854178240741</v>
      </c>
      <c r="B378">
        <v>1</v>
      </c>
      <c r="C378">
        <v>48</v>
      </c>
      <c r="D378">
        <v>24</v>
      </c>
      <c r="E378">
        <v>2</v>
      </c>
      <c r="F378">
        <v>1.8896484375</v>
      </c>
      <c r="G378">
        <v>1.8896484375</v>
      </c>
      <c r="H378">
        <v>3.2156668318382913</v>
      </c>
      <c r="I378">
        <v>2.072077246090561</v>
      </c>
      <c r="J378">
        <v>1.1245020022274663</v>
      </c>
      <c r="K378">
        <v>7.8569967182850701E-3</v>
      </c>
      <c r="L378">
        <v>96.784333168161709</v>
      </c>
      <c r="M378">
        <v>45896.02</v>
      </c>
      <c r="N378">
        <v>1381366.89</v>
      </c>
      <c r="O378">
        <v>1427262.91</v>
      </c>
      <c r="P378">
        <v>516599.796875</v>
      </c>
    </row>
    <row r="379" spans="1:16" x14ac:dyDescent="0.25">
      <c r="A379" s="28">
        <v>42128.854178240741</v>
      </c>
      <c r="B379">
        <v>2</v>
      </c>
      <c r="C379">
        <v>48</v>
      </c>
      <c r="D379">
        <v>24</v>
      </c>
      <c r="E379">
        <v>2</v>
      </c>
      <c r="F379">
        <v>2.669921875</v>
      </c>
      <c r="G379">
        <v>2.669921875</v>
      </c>
      <c r="H379">
        <v>4.074804867727587</v>
      </c>
      <c r="I379">
        <v>2.20383242538326</v>
      </c>
      <c r="J379">
        <v>1.8522524599166734</v>
      </c>
      <c r="K379">
        <v>1.2652005329540836E-2</v>
      </c>
      <c r="L379">
        <v>95.925195132272407</v>
      </c>
      <c r="M379">
        <v>58194.45</v>
      </c>
      <c r="N379">
        <v>1369958.6</v>
      </c>
      <c r="O379">
        <v>1428153.05</v>
      </c>
      <c r="P379">
        <v>516599.796875</v>
      </c>
    </row>
    <row r="380" spans="1:16" x14ac:dyDescent="0.25">
      <c r="A380" s="28">
        <v>42128.854178240741</v>
      </c>
      <c r="B380">
        <v>3</v>
      </c>
      <c r="C380">
        <v>48</v>
      </c>
      <c r="D380">
        <v>24</v>
      </c>
      <c r="E380">
        <v>2</v>
      </c>
      <c r="F380">
        <v>2.349609375</v>
      </c>
      <c r="G380">
        <v>2.349609375</v>
      </c>
      <c r="H380">
        <v>3.4830230248919571</v>
      </c>
      <c r="I380">
        <v>2.3963470565412313</v>
      </c>
      <c r="J380">
        <v>1.0321841632521245</v>
      </c>
      <c r="K380">
        <v>1.3316854943068536E-2</v>
      </c>
      <c r="L380">
        <v>96.516976975108037</v>
      </c>
      <c r="M380">
        <v>49697.11</v>
      </c>
      <c r="N380">
        <v>1377141.29</v>
      </c>
      <c r="O380">
        <v>1426838.4</v>
      </c>
      <c r="P380">
        <v>516599.796875</v>
      </c>
    </row>
    <row r="381" spans="1:16" x14ac:dyDescent="0.25">
      <c r="A381" s="28">
        <v>42128.854178240741</v>
      </c>
      <c r="B381">
        <v>4</v>
      </c>
      <c r="C381">
        <v>48</v>
      </c>
      <c r="D381">
        <v>24</v>
      </c>
      <c r="E381">
        <v>2</v>
      </c>
      <c r="F381">
        <v>1.6396484375</v>
      </c>
      <c r="G381">
        <v>1.6396484375</v>
      </c>
      <c r="H381">
        <v>2.6534397706667887</v>
      </c>
      <c r="I381">
        <v>1.6510309795416906</v>
      </c>
      <c r="J381">
        <v>0.98403222996265682</v>
      </c>
      <c r="K381">
        <v>1.7197050818135676E-2</v>
      </c>
      <c r="L381">
        <v>97.346560229333207</v>
      </c>
      <c r="M381">
        <v>37905.949999999997</v>
      </c>
      <c r="N381">
        <v>1390652.95</v>
      </c>
      <c r="O381">
        <v>1428558.9</v>
      </c>
      <c r="P381">
        <v>451959.83203125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00"/>
  <sheetViews>
    <sheetView workbookViewId="0"/>
  </sheetViews>
  <sheetFormatPr defaultRowHeight="15" x14ac:dyDescent="0.25"/>
  <cols>
    <col min="1" max="1" width="18.85546875" bestFit="1" customWidth="1"/>
    <col min="2" max="2" width="17.42578125" bestFit="1" customWidth="1"/>
    <col min="3" max="3" width="12.42578125" bestFit="1" customWidth="1"/>
    <col min="4" max="4" width="12" customWidth="1"/>
    <col min="5" max="13" width="12.28515625" customWidth="1"/>
    <col min="14" max="14" width="12.28515625" bestFit="1" customWidth="1"/>
    <col min="15" max="15" width="11.140625" bestFit="1" customWidth="1"/>
    <col min="16" max="18" width="29.85546875" bestFit="1" customWidth="1"/>
    <col min="19" max="25" width="29.85546875" customWidth="1"/>
    <col min="26" max="26" width="30" customWidth="1"/>
    <col min="27" max="27" width="34.85546875" customWidth="1"/>
    <col min="28" max="37" width="21.85546875" bestFit="1" customWidth="1"/>
    <col min="38" max="38" width="23.7109375" bestFit="1" customWidth="1"/>
    <col min="39" max="39" width="25.28515625" bestFit="1" customWidth="1"/>
    <col min="40" max="40" width="26.85546875" bestFit="1" customWidth="1"/>
  </cols>
  <sheetData>
    <row r="1" spans="1:3" x14ac:dyDescent="0.25">
      <c r="A1" s="30" t="s">
        <v>106</v>
      </c>
      <c r="B1" s="38">
        <v>2</v>
      </c>
    </row>
    <row r="3" spans="1:3" x14ac:dyDescent="0.25">
      <c r="A3" s="19"/>
      <c r="B3" s="29" t="s">
        <v>126</v>
      </c>
      <c r="C3" s="31"/>
    </row>
    <row r="4" spans="1:3" x14ac:dyDescent="0.25">
      <c r="A4" s="29" t="s">
        <v>105</v>
      </c>
      <c r="B4" s="19" t="s">
        <v>172</v>
      </c>
      <c r="C4" s="39" t="s">
        <v>173</v>
      </c>
    </row>
    <row r="5" spans="1:3" x14ac:dyDescent="0.25">
      <c r="A5" s="32">
        <v>42127.875405092593</v>
      </c>
      <c r="B5" s="33">
        <v>6.3962173649497469</v>
      </c>
      <c r="C5" s="40">
        <v>4.8077871723870738</v>
      </c>
    </row>
    <row r="6" spans="1:3" x14ac:dyDescent="0.25">
      <c r="A6" s="34">
        <v>42127.885833333334</v>
      </c>
      <c r="B6" s="35">
        <v>6.4649883559044703</v>
      </c>
      <c r="C6" s="41">
        <v>4.8706370743826559</v>
      </c>
    </row>
    <row r="7" spans="1:3" x14ac:dyDescent="0.25">
      <c r="A7" s="34">
        <v>42127.896261574075</v>
      </c>
      <c r="B7" s="35">
        <v>6.5401491069802278</v>
      </c>
      <c r="C7" s="41">
        <v>4.9393254423432191</v>
      </c>
    </row>
    <row r="8" spans="1:3" x14ac:dyDescent="0.25">
      <c r="A8" s="34">
        <v>42127.906689814816</v>
      </c>
      <c r="B8" s="35">
        <v>6.6126347164442176</v>
      </c>
      <c r="C8" s="41">
        <v>5.0055978929191705</v>
      </c>
    </row>
    <row r="9" spans="1:3" x14ac:dyDescent="0.25">
      <c r="A9" s="34">
        <v>42127.91710648148</v>
      </c>
      <c r="B9" s="35">
        <v>6.6882316814206266</v>
      </c>
      <c r="C9" s="41">
        <v>5.0749059702847701</v>
      </c>
    </row>
    <row r="10" spans="1:3" x14ac:dyDescent="0.25">
      <c r="A10" s="34">
        <v>42127.927546296298</v>
      </c>
      <c r="B10" s="35">
        <v>6.7642534300936621</v>
      </c>
      <c r="C10" s="41">
        <v>5.1446495412162943</v>
      </c>
    </row>
    <row r="11" spans="1:3" x14ac:dyDescent="0.25">
      <c r="A11" s="34">
        <v>42127.937962962962</v>
      </c>
      <c r="B11" s="35">
        <v>6.829082514458233</v>
      </c>
      <c r="C11" s="41">
        <v>5.2040589491008991</v>
      </c>
    </row>
    <row r="12" spans="1:3" x14ac:dyDescent="0.25">
      <c r="A12" s="34">
        <v>42127.947928240741</v>
      </c>
      <c r="B12" s="35">
        <v>6.9003879048561672</v>
      </c>
      <c r="C12" s="41">
        <v>5.2690686968644247</v>
      </c>
    </row>
    <row r="13" spans="1:3" x14ac:dyDescent="0.25">
      <c r="A13" s="34">
        <v>42127.958402777775</v>
      </c>
      <c r="B13" s="35">
        <v>6.9693802957569684</v>
      </c>
      <c r="C13" s="41">
        <v>5.3321983719627655</v>
      </c>
    </row>
    <row r="14" spans="1:3" x14ac:dyDescent="0.25">
      <c r="A14" s="34">
        <v>42127.968831018516</v>
      </c>
      <c r="B14" s="35">
        <v>7.0321099743519921</v>
      </c>
      <c r="C14" s="41">
        <v>5.3894369666974136</v>
      </c>
    </row>
    <row r="15" spans="1:3" x14ac:dyDescent="0.25">
      <c r="A15" s="34">
        <v>42127.979166666664</v>
      </c>
      <c r="B15" s="35">
        <v>7.0960537813318805</v>
      </c>
      <c r="C15" s="41">
        <v>5.4480558064827802</v>
      </c>
    </row>
    <row r="16" spans="1:3" x14ac:dyDescent="0.25">
      <c r="A16" s="34">
        <v>42127.989606481482</v>
      </c>
      <c r="B16" s="35">
        <v>7.1573496205942284</v>
      </c>
      <c r="C16" s="41">
        <v>5.5039636749662986</v>
      </c>
    </row>
    <row r="17" spans="1:3" x14ac:dyDescent="0.25">
      <c r="A17" s="34">
        <v>42128.000034722223</v>
      </c>
      <c r="B17" s="35">
        <v>7.221838945803956</v>
      </c>
      <c r="C17" s="41">
        <v>5.5625314421552492</v>
      </c>
    </row>
    <row r="18" spans="1:3" x14ac:dyDescent="0.25">
      <c r="A18" s="34">
        <v>42128.010474537034</v>
      </c>
      <c r="B18" s="35">
        <v>7.2871773567105995</v>
      </c>
      <c r="C18" s="41">
        <v>5.6219908573886048</v>
      </c>
    </row>
    <row r="19" spans="1:3" x14ac:dyDescent="0.25">
      <c r="A19" s="34">
        <v>42128.020902777775</v>
      </c>
      <c r="B19" s="35">
        <v>7.3484175516455323</v>
      </c>
      <c r="C19" s="41">
        <v>5.6777474636491245</v>
      </c>
    </row>
    <row r="20" spans="1:3" x14ac:dyDescent="0.25">
      <c r="A20" s="34">
        <v>42128.031342592592</v>
      </c>
      <c r="B20" s="35">
        <v>7.4062768211611534</v>
      </c>
      <c r="C20" s="41">
        <v>5.7303095838127787</v>
      </c>
    </row>
    <row r="21" spans="1:3" x14ac:dyDescent="0.25">
      <c r="A21" s="34">
        <v>42128.041770833333</v>
      </c>
      <c r="B21" s="35">
        <v>7.4732899105474466</v>
      </c>
      <c r="C21" s="41">
        <v>5.7913206293843809</v>
      </c>
    </row>
    <row r="22" spans="1:3" x14ac:dyDescent="0.25">
      <c r="A22" s="34">
        <v>42128.052210648151</v>
      </c>
      <c r="B22" s="35">
        <v>7.5413970092621261</v>
      </c>
      <c r="C22" s="41">
        <v>5.8535526235246946</v>
      </c>
    </row>
    <row r="23" spans="1:3" x14ac:dyDescent="0.25">
      <c r="A23" s="34">
        <v>42128.062650462962</v>
      </c>
      <c r="B23" s="35">
        <v>7.5947912216398956</v>
      </c>
      <c r="C23" s="41">
        <v>5.9017137414078285</v>
      </c>
    </row>
    <row r="24" spans="1:3" x14ac:dyDescent="0.25">
      <c r="A24" s="34">
        <v>42128.073078703703</v>
      </c>
      <c r="B24" s="35">
        <v>7.6641329286283018</v>
      </c>
      <c r="C24" s="41">
        <v>5.964940099210275</v>
      </c>
    </row>
    <row r="25" spans="1:3" x14ac:dyDescent="0.25">
      <c r="A25" s="34">
        <v>42128.083506944444</v>
      </c>
      <c r="B25" s="35">
        <v>7.7235916225717247</v>
      </c>
      <c r="C25" s="41">
        <v>6.0191152432895958</v>
      </c>
    </row>
    <row r="26" spans="1:3" x14ac:dyDescent="0.25">
      <c r="A26" s="34">
        <v>42128.09375</v>
      </c>
      <c r="B26" s="35">
        <v>7.7916661796452873</v>
      </c>
      <c r="C26" s="41">
        <v>6.0799414073011695</v>
      </c>
    </row>
    <row r="27" spans="1:3" x14ac:dyDescent="0.25">
      <c r="A27" s="34">
        <v>42128.104189814818</v>
      </c>
      <c r="B27" s="35">
        <v>7.8602023394304013</v>
      </c>
      <c r="C27" s="41">
        <v>6.1420256845774892</v>
      </c>
    </row>
    <row r="28" spans="1:3" x14ac:dyDescent="0.25">
      <c r="A28" s="34">
        <v>42128.114618055559</v>
      </c>
      <c r="B28" s="35">
        <v>7.9184998970301983</v>
      </c>
      <c r="C28" s="41">
        <v>6.1946319953430891</v>
      </c>
    </row>
    <row r="29" spans="1:3" x14ac:dyDescent="0.25">
      <c r="A29" s="34">
        <v>42128.1250462963</v>
      </c>
      <c r="B29" s="35">
        <v>7.979115622396753</v>
      </c>
      <c r="C29" s="41">
        <v>6.2493503466490941</v>
      </c>
    </row>
    <row r="30" spans="1:3" x14ac:dyDescent="0.25">
      <c r="A30" s="34">
        <v>42128.13548611111</v>
      </c>
      <c r="B30" s="35">
        <v>8.0431237501362443</v>
      </c>
      <c r="C30" s="41">
        <v>6.3080478787982406</v>
      </c>
    </row>
    <row r="31" spans="1:3" x14ac:dyDescent="0.25">
      <c r="A31" s="34">
        <v>42128.145833333336</v>
      </c>
      <c r="B31" s="35">
        <v>8.1101075938159362</v>
      </c>
      <c r="C31" s="41">
        <v>6.3692116211516225</v>
      </c>
    </row>
    <row r="32" spans="1:3" x14ac:dyDescent="0.25">
      <c r="A32" s="34">
        <v>42128.156261574077</v>
      </c>
      <c r="B32" s="35">
        <v>8.1764788430609574</v>
      </c>
      <c r="C32" s="41">
        <v>6.4297984545459661</v>
      </c>
    </row>
    <row r="33" spans="1:3" x14ac:dyDescent="0.25">
      <c r="A33" s="34">
        <v>42128.166678240741</v>
      </c>
      <c r="B33" s="35">
        <v>8.2378579331414805</v>
      </c>
      <c r="C33" s="41">
        <v>6.4858910324828951</v>
      </c>
    </row>
    <row r="34" spans="1:3" x14ac:dyDescent="0.25">
      <c r="A34" s="34">
        <v>42128.177094907405</v>
      </c>
      <c r="B34" s="35">
        <v>8.2584447588824297</v>
      </c>
      <c r="C34" s="41">
        <v>6.50326302510455</v>
      </c>
    </row>
    <row r="35" spans="1:3" x14ac:dyDescent="0.25">
      <c r="A35" s="34">
        <v>42128.187523148146</v>
      </c>
      <c r="B35" s="35">
        <v>8.2846726158325286</v>
      </c>
      <c r="C35" s="41">
        <v>6.5267398847911489</v>
      </c>
    </row>
    <row r="36" spans="1:3" x14ac:dyDescent="0.25">
      <c r="A36" s="34">
        <v>42128.197951388887</v>
      </c>
      <c r="B36" s="35">
        <v>8.284124728969422</v>
      </c>
      <c r="C36" s="41">
        <v>6.527274003690553</v>
      </c>
    </row>
    <row r="37" spans="1:3" x14ac:dyDescent="0.25">
      <c r="A37" s="34">
        <v>42128.208368055559</v>
      </c>
      <c r="B37" s="35">
        <v>8.2755283404337163</v>
      </c>
      <c r="C37" s="41">
        <v>6.5196322338809312</v>
      </c>
    </row>
    <row r="38" spans="1:3" x14ac:dyDescent="0.25">
      <c r="A38" s="34">
        <v>42128.2187962963</v>
      </c>
      <c r="B38" s="35">
        <v>8.2639570972904099</v>
      </c>
      <c r="C38" s="41">
        <v>6.5092294650746876</v>
      </c>
    </row>
    <row r="39" spans="1:3" x14ac:dyDescent="0.25">
      <c r="A39" s="34">
        <v>42128.229224537034</v>
      </c>
      <c r="B39" s="35">
        <v>8.2432645578674819</v>
      </c>
      <c r="C39" s="41">
        <v>6.491198728432976</v>
      </c>
    </row>
    <row r="40" spans="1:3" x14ac:dyDescent="0.25">
      <c r="A40" s="34">
        <v>42128.239641203705</v>
      </c>
      <c r="B40" s="35">
        <v>8.2231406907960043</v>
      </c>
      <c r="C40" s="41">
        <v>6.4736902963824603</v>
      </c>
    </row>
    <row r="41" spans="1:3" x14ac:dyDescent="0.25">
      <c r="A41" s="34">
        <v>42128.250069444446</v>
      </c>
      <c r="B41" s="35">
        <v>8.2026777763074854</v>
      </c>
      <c r="C41" s="41">
        <v>6.4558070413600728</v>
      </c>
    </row>
    <row r="42" spans="1:3" x14ac:dyDescent="0.25">
      <c r="A42" s="34">
        <v>42128.26048611111</v>
      </c>
      <c r="B42" s="35">
        <v>8.1821251845852423</v>
      </c>
      <c r="C42" s="41">
        <v>6.4377452132236792</v>
      </c>
    </row>
    <row r="43" spans="1:3" x14ac:dyDescent="0.25">
      <c r="A43" s="34">
        <v>42128.270914351851</v>
      </c>
      <c r="B43" s="35">
        <v>8.1624094453722442</v>
      </c>
      <c r="C43" s="41">
        <v>6.4205007355985462</v>
      </c>
    </row>
    <row r="44" spans="1:3" x14ac:dyDescent="0.25">
      <c r="A44" s="34">
        <v>42128.281342592592</v>
      </c>
      <c r="B44" s="35">
        <v>8.1430411088866936</v>
      </c>
      <c r="C44" s="41">
        <v>6.4036530746593856</v>
      </c>
    </row>
    <row r="45" spans="1:3" x14ac:dyDescent="0.25">
      <c r="A45" s="34">
        <v>42128.291759259257</v>
      </c>
      <c r="B45" s="35">
        <v>8.1343938900701662</v>
      </c>
      <c r="C45" s="41">
        <v>6.3920071314121554</v>
      </c>
    </row>
    <row r="46" spans="1:3" x14ac:dyDescent="0.25">
      <c r="A46" s="34">
        <v>42128.302187499998</v>
      </c>
      <c r="B46" s="35">
        <v>8.122587053893179</v>
      </c>
      <c r="C46" s="41">
        <v>6.3764424867423175</v>
      </c>
    </row>
    <row r="47" spans="1:3" x14ac:dyDescent="0.25">
      <c r="A47" s="34">
        <v>42128.312604166669</v>
      </c>
      <c r="B47" s="35">
        <v>8.1117223193742714</v>
      </c>
      <c r="C47" s="41">
        <v>6.3616490592094612</v>
      </c>
    </row>
    <row r="48" spans="1:3" x14ac:dyDescent="0.25">
      <c r="A48" s="34">
        <v>42128.32303240741</v>
      </c>
      <c r="B48" s="35">
        <v>8.1032190793728578</v>
      </c>
      <c r="C48" s="41">
        <v>6.349094365957086</v>
      </c>
    </row>
    <row r="49" spans="1:3" x14ac:dyDescent="0.25">
      <c r="A49" s="34">
        <v>42128.333460648151</v>
      </c>
      <c r="B49" s="35">
        <v>8.0932833907925552</v>
      </c>
      <c r="C49" s="41">
        <v>6.3351386911921894</v>
      </c>
    </row>
    <row r="50" spans="1:3" x14ac:dyDescent="0.25">
      <c r="A50" s="34">
        <v>42128.343877314815</v>
      </c>
      <c r="B50" s="35">
        <v>8.0811661164802313</v>
      </c>
      <c r="C50" s="41">
        <v>6.3195070881712017</v>
      </c>
    </row>
    <row r="51" spans="1:3" x14ac:dyDescent="0.25">
      <c r="A51" s="34">
        <v>42128.354305555556</v>
      </c>
      <c r="B51" s="35">
        <v>8.0694011769373937</v>
      </c>
      <c r="C51" s="41">
        <v>6.3040904465686394</v>
      </c>
    </row>
    <row r="52" spans="1:3" x14ac:dyDescent="0.25">
      <c r="A52" s="34">
        <v>42128.364722222221</v>
      </c>
      <c r="B52" s="35">
        <v>8.0583124796991914</v>
      </c>
      <c r="C52" s="41">
        <v>6.2895812936773403</v>
      </c>
    </row>
    <row r="53" spans="1:3" x14ac:dyDescent="0.25">
      <c r="A53" s="34">
        <v>42128.375150462962</v>
      </c>
      <c r="B53" s="35">
        <v>8.0466648795001667</v>
      </c>
      <c r="C53" s="41">
        <v>6.2745548938606159</v>
      </c>
    </row>
    <row r="54" spans="1:3" x14ac:dyDescent="0.25">
      <c r="A54" s="34">
        <v>42128.385578703703</v>
      </c>
      <c r="B54" s="35">
        <v>8.0341217611065385</v>
      </c>
      <c r="C54" s="41">
        <v>6.2588229388750065</v>
      </c>
    </row>
    <row r="55" spans="1:3" x14ac:dyDescent="0.25">
      <c r="A55" s="34">
        <v>42128.395844907405</v>
      </c>
      <c r="B55" s="35">
        <v>8.0213624949189857</v>
      </c>
      <c r="C55" s="41">
        <v>6.2429327726697279</v>
      </c>
    </row>
    <row r="56" spans="1:3" x14ac:dyDescent="0.25">
      <c r="A56" s="34">
        <v>42128.406273148146</v>
      </c>
      <c r="B56" s="35">
        <v>8.009058747137388</v>
      </c>
      <c r="C56" s="41">
        <v>6.2274980789065495</v>
      </c>
    </row>
    <row r="57" spans="1:3" x14ac:dyDescent="0.25">
      <c r="A57" s="34">
        <v>42128.416712962964</v>
      </c>
      <c r="B57" s="35">
        <v>7.9976748209055852</v>
      </c>
      <c r="C57" s="41">
        <v>6.2130418031495926</v>
      </c>
    </row>
    <row r="58" spans="1:3" x14ac:dyDescent="0.25">
      <c r="A58" s="34">
        <v>42128.427141203705</v>
      </c>
      <c r="B58" s="35">
        <v>7.9855774857860817</v>
      </c>
      <c r="C58" s="41">
        <v>6.1978641651810049</v>
      </c>
    </row>
    <row r="59" spans="1:3" x14ac:dyDescent="0.25">
      <c r="A59" s="34">
        <v>42128.437581018516</v>
      </c>
      <c r="B59" s="35">
        <v>7.9730985564044543</v>
      </c>
      <c r="C59" s="41">
        <v>6.1823226346448523</v>
      </c>
    </row>
    <row r="60" spans="1:3" x14ac:dyDescent="0.25">
      <c r="A60" s="34">
        <v>42128.448009259257</v>
      </c>
      <c r="B60" s="35">
        <v>7.9610537262863437</v>
      </c>
      <c r="C60" s="41">
        <v>6.167244244179992</v>
      </c>
    </row>
    <row r="61" spans="1:3" x14ac:dyDescent="0.25">
      <c r="A61" s="34">
        <v>42128.458437499998</v>
      </c>
      <c r="B61" s="35">
        <v>7.9503202755480302</v>
      </c>
      <c r="C61" s="41">
        <v>6.1537115559281288</v>
      </c>
    </row>
    <row r="62" spans="1:3" x14ac:dyDescent="0.25">
      <c r="A62" s="34">
        <v>42128.468877314815</v>
      </c>
      <c r="B62" s="35">
        <v>7.9389566786261918</v>
      </c>
      <c r="C62" s="41">
        <v>6.1392566210825992</v>
      </c>
    </row>
    <row r="63" spans="1:3" x14ac:dyDescent="0.25">
      <c r="A63" s="34">
        <v>42128.479305555556</v>
      </c>
      <c r="B63" s="35">
        <v>7.9278024986137119</v>
      </c>
      <c r="C63" s="41">
        <v>6.1250375098738195</v>
      </c>
    </row>
    <row r="64" spans="1:3" x14ac:dyDescent="0.25">
      <c r="A64" s="34">
        <v>42128.489733796298</v>
      </c>
      <c r="B64" s="35">
        <v>7.9209171258980202</v>
      </c>
      <c r="C64" s="41">
        <v>6.1152065034514003</v>
      </c>
    </row>
    <row r="65" spans="1:3" x14ac:dyDescent="0.25">
      <c r="A65" s="34">
        <v>42128.500173611108</v>
      </c>
      <c r="B65" s="35">
        <v>7.9178836336096907</v>
      </c>
      <c r="C65" s="41">
        <v>6.1095189957552876</v>
      </c>
    </row>
    <row r="66" spans="1:3" x14ac:dyDescent="0.25">
      <c r="A66" s="34">
        <v>42128.51835648148</v>
      </c>
      <c r="B66" s="35">
        <v>5.7131595847123551</v>
      </c>
      <c r="C66" s="41">
        <v>3.1093977368135004</v>
      </c>
    </row>
    <row r="67" spans="1:3" x14ac:dyDescent="0.25">
      <c r="A67" s="34">
        <v>42128.525925925926</v>
      </c>
      <c r="B67" s="35">
        <v>5.2020140194325339</v>
      </c>
      <c r="C67" s="41">
        <v>2.6101648618338174</v>
      </c>
    </row>
    <row r="68" spans="1:3" x14ac:dyDescent="0.25">
      <c r="A68" s="34">
        <v>42128.531481481485</v>
      </c>
      <c r="B68" s="35">
        <v>4.8392701881480589</v>
      </c>
      <c r="C68" s="41">
        <v>2.2635317721312322</v>
      </c>
    </row>
    <row r="69" spans="1:3" x14ac:dyDescent="0.25">
      <c r="A69" s="34">
        <v>42128.541921296295</v>
      </c>
      <c r="B69" s="35">
        <v>5.5370798226100595</v>
      </c>
      <c r="C69" s="41">
        <v>2.9158041954037799</v>
      </c>
    </row>
    <row r="70" spans="1:3" x14ac:dyDescent="0.25">
      <c r="A70" s="34">
        <v>42128.552337962959</v>
      </c>
      <c r="B70" s="35">
        <v>5.7760646774208384</v>
      </c>
      <c r="C70" s="41">
        <v>3.127979150272445</v>
      </c>
    </row>
    <row r="71" spans="1:3" x14ac:dyDescent="0.25">
      <c r="A71" s="34">
        <v>42128.5627662037</v>
      </c>
      <c r="B71" s="35">
        <v>5.5938808921706498</v>
      </c>
      <c r="C71" s="41">
        <v>2.9426320126832879</v>
      </c>
    </row>
    <row r="72" spans="1:3" x14ac:dyDescent="0.25">
      <c r="A72" s="34">
        <v>42128.573194444441</v>
      </c>
      <c r="B72" s="35">
        <v>5.568596632306976</v>
      </c>
      <c r="C72" s="41">
        <v>2.9053673861314144</v>
      </c>
    </row>
    <row r="73" spans="1:3" x14ac:dyDescent="0.25">
      <c r="A73" s="34">
        <v>42128.583611111113</v>
      </c>
      <c r="B73" s="35">
        <v>5.4756231254073526</v>
      </c>
      <c r="C73" s="41">
        <v>2.8227565233225538</v>
      </c>
    </row>
    <row r="74" spans="1:3" x14ac:dyDescent="0.25">
      <c r="A74" s="34">
        <v>42128.594039351854</v>
      </c>
      <c r="B74" s="35">
        <v>5.3807829751110932</v>
      </c>
      <c r="C74" s="41">
        <v>2.7347777422616351</v>
      </c>
    </row>
    <row r="75" spans="1:3" x14ac:dyDescent="0.25">
      <c r="A75" s="34">
        <v>42128.604502314818</v>
      </c>
      <c r="B75" s="35">
        <v>5.3269285360492793</v>
      </c>
      <c r="C75" s="41">
        <v>2.6790228260383806</v>
      </c>
    </row>
    <row r="76" spans="1:3" x14ac:dyDescent="0.25">
      <c r="A76" s="34">
        <v>42128.614930555559</v>
      </c>
      <c r="B76" s="35">
        <v>5.2492456783652797</v>
      </c>
      <c r="C76" s="41">
        <v>2.6067592816497704</v>
      </c>
    </row>
    <row r="77" spans="1:3" x14ac:dyDescent="0.25">
      <c r="A77" s="34">
        <v>42128.625347222223</v>
      </c>
      <c r="B77" s="35">
        <v>5.2239170405552589</v>
      </c>
      <c r="C77" s="41">
        <v>2.5855976876287108</v>
      </c>
    </row>
    <row r="78" spans="1:3" x14ac:dyDescent="0.25">
      <c r="A78" s="34">
        <v>42128.635775462964</v>
      </c>
      <c r="B78" s="35">
        <v>5.1764569555388409</v>
      </c>
      <c r="C78" s="41">
        <v>2.5415947503687066</v>
      </c>
    </row>
    <row r="79" spans="1:3" x14ac:dyDescent="0.25">
      <c r="A79" s="34">
        <v>42128.645868055559</v>
      </c>
      <c r="B79" s="35">
        <v>5.3008594955732882</v>
      </c>
      <c r="C79" s="41">
        <v>2.6339378770156037</v>
      </c>
    </row>
    <row r="80" spans="1:3" x14ac:dyDescent="0.25">
      <c r="A80" s="34">
        <v>42128.656354166669</v>
      </c>
      <c r="B80" s="35">
        <v>5.3392656891112091</v>
      </c>
      <c r="C80" s="41">
        <v>2.6591797034639466</v>
      </c>
    </row>
    <row r="81" spans="1:3" x14ac:dyDescent="0.25">
      <c r="A81" s="34">
        <v>42128.66678240741</v>
      </c>
      <c r="B81" s="35">
        <v>5.3446241548202496</v>
      </c>
      <c r="C81" s="41">
        <v>2.654853649775605</v>
      </c>
    </row>
    <row r="82" spans="1:3" x14ac:dyDescent="0.25">
      <c r="A82" s="34">
        <v>42128.677256944444</v>
      </c>
      <c r="B82" s="35">
        <v>5.3569361539998681</v>
      </c>
      <c r="C82" s="41">
        <v>2.6607432377144806</v>
      </c>
    </row>
    <row r="83" spans="1:3" x14ac:dyDescent="0.25">
      <c r="A83" s="34">
        <v>42128.687685185185</v>
      </c>
      <c r="B83" s="35">
        <v>5.258841289532926</v>
      </c>
      <c r="C83" s="41">
        <v>2.6155600295043699</v>
      </c>
    </row>
    <row r="84" spans="1:3" x14ac:dyDescent="0.25">
      <c r="A84" s="34">
        <v>42128.698159722226</v>
      </c>
      <c r="B84" s="35">
        <v>5.1261742422609826</v>
      </c>
      <c r="C84" s="41">
        <v>2.5689624607939829</v>
      </c>
    </row>
    <row r="85" spans="1:3" x14ac:dyDescent="0.25">
      <c r="A85" s="34">
        <v>42128.708599537036</v>
      </c>
      <c r="B85" s="35">
        <v>4.9982143718232583</v>
      </c>
      <c r="C85" s="41">
        <v>2.5188101274787451</v>
      </c>
    </row>
    <row r="86" spans="1:3" x14ac:dyDescent="0.25">
      <c r="A86" s="34">
        <v>42128.719074074077</v>
      </c>
      <c r="B86" s="35">
        <v>4.9018170054580121</v>
      </c>
      <c r="C86" s="41">
        <v>2.492290188294596</v>
      </c>
    </row>
    <row r="87" spans="1:3" x14ac:dyDescent="0.25">
      <c r="A87" s="34">
        <v>42128.729502314818</v>
      </c>
      <c r="B87" s="35">
        <v>4.7967783586418404</v>
      </c>
      <c r="C87" s="41">
        <v>2.450435036629151</v>
      </c>
    </row>
    <row r="88" spans="1:3" x14ac:dyDescent="0.25">
      <c r="A88" s="34">
        <v>42128.739976851852</v>
      </c>
      <c r="B88" s="35">
        <v>4.7026635877949046</v>
      </c>
      <c r="C88" s="41">
        <v>2.4147570956951867</v>
      </c>
    </row>
    <row r="89" spans="1:3" x14ac:dyDescent="0.25">
      <c r="A89" s="34">
        <v>42128.750405092593</v>
      </c>
      <c r="B89" s="35">
        <v>4.6145320398150576</v>
      </c>
      <c r="C89" s="41">
        <v>2.379354755046049</v>
      </c>
    </row>
    <row r="90" spans="1:3" x14ac:dyDescent="0.25">
      <c r="A90" s="34">
        <v>42128.760879629626</v>
      </c>
      <c r="B90" s="35">
        <v>4.5490097229253603</v>
      </c>
      <c r="C90" s="41">
        <v>2.3625082068418863</v>
      </c>
    </row>
    <row r="91" spans="1:3" x14ac:dyDescent="0.25">
      <c r="A91" s="34">
        <v>42128.771307870367</v>
      </c>
      <c r="B91" s="35">
        <v>4.4747476142468479</v>
      </c>
      <c r="C91" s="41">
        <v>2.3321097285328252</v>
      </c>
    </row>
    <row r="92" spans="1:3" x14ac:dyDescent="0.25">
      <c r="A92" s="34">
        <v>42128.781747685185</v>
      </c>
      <c r="B92" s="35">
        <v>4.4047267241651786</v>
      </c>
      <c r="C92" s="41">
        <v>2.3027522686348387</v>
      </c>
    </row>
    <row r="93" spans="1:3" x14ac:dyDescent="0.25">
      <c r="A93" s="34">
        <v>42128.792175925926</v>
      </c>
      <c r="B93" s="35">
        <v>4.3426783054618125</v>
      </c>
      <c r="C93" s="41">
        <v>2.2798832048391491</v>
      </c>
    </row>
    <row r="94" spans="1:3" x14ac:dyDescent="0.25">
      <c r="A94" s="34">
        <v>42128.802604166667</v>
      </c>
      <c r="B94" s="35">
        <v>4.303605796835261</v>
      </c>
      <c r="C94" s="41">
        <v>2.2759354511384164</v>
      </c>
    </row>
    <row r="95" spans="1:3" x14ac:dyDescent="0.25">
      <c r="A95" s="34">
        <v>42128.813020833331</v>
      </c>
      <c r="B95" s="35">
        <v>4.2456719469493711</v>
      </c>
      <c r="C95" s="41">
        <v>2.2502046590860871</v>
      </c>
    </row>
    <row r="96" spans="1:3" x14ac:dyDescent="0.25">
      <c r="A96" s="34">
        <v>42128.822928240741</v>
      </c>
      <c r="B96" s="35">
        <v>4.2105052981369724</v>
      </c>
      <c r="C96" s="41">
        <v>2.2439693581359306</v>
      </c>
    </row>
    <row r="97" spans="1:3" x14ac:dyDescent="0.25">
      <c r="A97" s="34">
        <v>42128.833356481482</v>
      </c>
      <c r="B97" s="35">
        <v>4.1659523414111499</v>
      </c>
      <c r="C97" s="41">
        <v>2.2320702075819256</v>
      </c>
    </row>
    <row r="98" spans="1:3" x14ac:dyDescent="0.25">
      <c r="A98" s="34">
        <v>42128.84375</v>
      </c>
      <c r="B98" s="35">
        <v>4.1335842779348928</v>
      </c>
      <c r="C98" s="41">
        <v>2.2318514011511583</v>
      </c>
    </row>
    <row r="99" spans="1:3" x14ac:dyDescent="0.25">
      <c r="A99" s="34">
        <v>42128.854178240741</v>
      </c>
      <c r="B99" s="35">
        <v>4.074804867727587</v>
      </c>
      <c r="C99" s="41">
        <v>2.20383242538326</v>
      </c>
    </row>
    <row r="100" spans="1:3" x14ac:dyDescent="0.25">
      <c r="A100" s="36" t="s">
        <v>107</v>
      </c>
      <c r="B100" s="37">
        <v>6.7423134966569451</v>
      </c>
      <c r="C100" s="42">
        <v>453.38444964624415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5" x14ac:dyDescent="0.25"/>
  <cols>
    <col min="1" max="1" width="92.7109375" customWidth="1"/>
  </cols>
  <sheetData>
    <row r="1" spans="1:1" x14ac:dyDescent="0.25">
      <c r="A1" t="s">
        <v>71</v>
      </c>
    </row>
    <row r="3" spans="1:1" x14ac:dyDescent="0.25">
      <c r="A3" t="s">
        <v>72</v>
      </c>
    </row>
    <row r="4" spans="1:1" x14ac:dyDescent="0.25">
      <c r="A4" t="s">
        <v>15</v>
      </c>
    </row>
    <row r="5" spans="1:1" x14ac:dyDescent="0.25">
      <c r="A5" t="s">
        <v>16</v>
      </c>
    </row>
    <row r="6" spans="1:1" x14ac:dyDescent="0.25">
      <c r="A6" t="s">
        <v>17</v>
      </c>
    </row>
    <row r="8" spans="1:1" x14ac:dyDescent="0.25">
      <c r="A8" t="s">
        <v>10</v>
      </c>
    </row>
    <row r="9" spans="1:1" x14ac:dyDescent="0.25">
      <c r="A9" t="s">
        <v>73</v>
      </c>
    </row>
    <row r="10" spans="1:1" x14ac:dyDescent="0.25">
      <c r="A10" t="s">
        <v>74</v>
      </c>
    </row>
    <row r="11" spans="1:1" x14ac:dyDescent="0.25">
      <c r="A11" t="s">
        <v>35</v>
      </c>
    </row>
    <row r="12" spans="1:1" x14ac:dyDescent="0.25">
      <c r="A12" s="7" t="s">
        <v>55</v>
      </c>
    </row>
    <row r="13" spans="1:1" x14ac:dyDescent="0.25">
      <c r="A13" t="s">
        <v>46</v>
      </c>
    </row>
    <row r="15" spans="1:1" x14ac:dyDescent="0.25">
      <c r="A15" t="s">
        <v>75</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9</vt:i4>
      </vt:variant>
    </vt:vector>
  </HeadingPairs>
  <TitlesOfParts>
    <vt:vector size="15" baseType="lpstr">
      <vt:lpstr>Main</vt:lpstr>
      <vt:lpstr>Queries</vt:lpstr>
      <vt:lpstr>Data</vt:lpstr>
      <vt:lpstr>Pivot</vt:lpstr>
      <vt:lpstr>Notes</vt:lpstr>
      <vt:lpstr>Chart15</vt:lpstr>
      <vt:lpstr>Data!AWR_data</vt:lpstr>
      <vt:lpstr>Custom_plot</vt:lpstr>
      <vt:lpstr>dbalias</vt:lpstr>
      <vt:lpstr>EndTime</vt:lpstr>
      <vt:lpstr>ODBC_Name</vt:lpstr>
      <vt:lpstr>Oracle_ODBC</vt:lpstr>
      <vt:lpstr>Show_SQL</vt:lpstr>
      <vt:lpstr>StartTime</vt:lpstr>
      <vt:lpstr>UserName</vt:lpstr>
    </vt:vector>
  </TitlesOfParts>
  <Company>CERN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Desai, Vishal</cp:lastModifiedBy>
  <dcterms:created xsi:type="dcterms:W3CDTF">2012-10-04T14:30:11Z</dcterms:created>
  <dcterms:modified xsi:type="dcterms:W3CDTF">2015-05-11T16:33:20Z</dcterms:modified>
</cp:coreProperties>
</file>